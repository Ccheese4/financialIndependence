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oreyCD\Desktop\PII_AMRDEC\Custom Net Worth Spreadsheet\"/>
    </mc:Choice>
  </mc:AlternateContent>
  <bookViews>
    <workbookView xWindow="0" yWindow="1260" windowWidth="23640" windowHeight="10890" activeTab="1"/>
  </bookViews>
  <sheets>
    <sheet name="Years to FI" sheetId="1" r:id="rId1"/>
    <sheet name="Portfolio Survivability" sheetId="3" r:id="rId2"/>
    <sheet name="Survivability Plot" sheetId="7" r:id="rId3"/>
    <sheet name="Influence of Allocation" sheetId="6" r:id="rId4"/>
    <sheet name="Investigate Inflation-Returns" sheetId="4" r:id="rId5"/>
  </sheet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" i="4" l="1"/>
  <c r="G17" i="4" s="1"/>
  <c r="G18" i="4" s="1"/>
  <c r="J16" i="4"/>
  <c r="J17" i="4" s="1"/>
  <c r="J18" i="4" s="1"/>
  <c r="G11" i="4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B5" i="1"/>
  <c r="B7" i="1" s="1"/>
  <c r="C7" i="1" s="1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8" i="3"/>
  <c r="Q9" i="6"/>
  <c r="Q13" i="6" s="1"/>
  <c r="R9" i="6"/>
  <c r="R13" i="6" s="1"/>
  <c r="S9" i="6"/>
  <c r="T9" i="6"/>
  <c r="U9" i="6"/>
  <c r="Q11" i="6"/>
  <c r="R11" i="6"/>
  <c r="S11" i="6"/>
  <c r="T11" i="6"/>
  <c r="U11" i="6"/>
  <c r="S13" i="6"/>
  <c r="T13" i="6"/>
  <c r="U13" i="6"/>
  <c r="Q14" i="6"/>
  <c r="R14" i="6"/>
  <c r="S14" i="6"/>
  <c r="T14" i="6"/>
  <c r="U14" i="6"/>
  <c r="Q15" i="6"/>
  <c r="R15" i="6"/>
  <c r="S15" i="6"/>
  <c r="T15" i="6"/>
  <c r="U15" i="6"/>
  <c r="Q16" i="6"/>
  <c r="R16" i="6"/>
  <c r="S16" i="6"/>
  <c r="T16" i="6"/>
  <c r="U16" i="6"/>
  <c r="L9" i="6"/>
  <c r="L13" i="6" s="1"/>
  <c r="M9" i="6"/>
  <c r="N9" i="6"/>
  <c r="O9" i="6"/>
  <c r="P9" i="6"/>
  <c r="L11" i="6"/>
  <c r="M11" i="6"/>
  <c r="N11" i="6"/>
  <c r="O11" i="6"/>
  <c r="P11" i="6"/>
  <c r="M13" i="6"/>
  <c r="N13" i="6"/>
  <c r="O13" i="6"/>
  <c r="P13" i="6"/>
  <c r="L14" i="6"/>
  <c r="M14" i="6"/>
  <c r="N14" i="6"/>
  <c r="O14" i="6"/>
  <c r="P14" i="6"/>
  <c r="L15" i="6"/>
  <c r="M15" i="6"/>
  <c r="N15" i="6"/>
  <c r="O15" i="6"/>
  <c r="P15" i="6"/>
  <c r="L16" i="6"/>
  <c r="M16" i="6"/>
  <c r="N16" i="6"/>
  <c r="O16" i="6"/>
  <c r="P16" i="6"/>
  <c r="K9" i="6"/>
  <c r="K13" i="6" s="1"/>
  <c r="K11" i="6"/>
  <c r="K14" i="6"/>
  <c r="K15" i="6"/>
  <c r="K16" i="6"/>
  <c r="J16" i="6"/>
  <c r="I16" i="6"/>
  <c r="H16" i="6"/>
  <c r="G16" i="6"/>
  <c r="J15" i="6"/>
  <c r="I15" i="6"/>
  <c r="H15" i="6"/>
  <c r="G15" i="6"/>
  <c r="J14" i="6"/>
  <c r="I14" i="6"/>
  <c r="H14" i="6"/>
  <c r="G14" i="6"/>
  <c r="J11" i="6"/>
  <c r="I11" i="6"/>
  <c r="H11" i="6"/>
  <c r="G11" i="6"/>
  <c r="J9" i="6"/>
  <c r="J13" i="6" s="1"/>
  <c r="I9" i="6"/>
  <c r="I13" i="6" s="1"/>
  <c r="H9" i="6"/>
  <c r="H13" i="6" s="1"/>
  <c r="G9" i="6"/>
  <c r="G13" i="6" s="1"/>
  <c r="H16" i="1"/>
  <c r="I16" i="1"/>
  <c r="J16" i="1"/>
  <c r="K16" i="1"/>
  <c r="K9" i="1"/>
  <c r="K13" i="1" s="1"/>
  <c r="K11" i="1"/>
  <c r="K14" i="1"/>
  <c r="K15" i="1"/>
  <c r="H10" i="3"/>
  <c r="H15" i="3"/>
  <c r="J9" i="1"/>
  <c r="J13" i="1" s="1"/>
  <c r="J11" i="1"/>
  <c r="J14" i="1"/>
  <c r="J15" i="1"/>
  <c r="G19" i="4" l="1"/>
  <c r="G20" i="4" s="1"/>
  <c r="H16" i="4"/>
  <c r="H17" i="4" s="1"/>
  <c r="L18" i="4"/>
  <c r="J19" i="4"/>
  <c r="L19" i="4" s="1"/>
  <c r="L16" i="4"/>
  <c r="L17" i="4"/>
  <c r="B3" i="3"/>
  <c r="G6" i="3"/>
  <c r="I9" i="1"/>
  <c r="I13" i="1" s="1"/>
  <c r="I11" i="1"/>
  <c r="I14" i="1"/>
  <c r="I15" i="1"/>
  <c r="H9" i="1"/>
  <c r="H13" i="1" s="1"/>
  <c r="H11" i="1"/>
  <c r="H14" i="1"/>
  <c r="H15" i="1"/>
  <c r="G16" i="1"/>
  <c r="G15" i="1"/>
  <c r="G14" i="1"/>
  <c r="I17" i="4" l="1"/>
  <c r="H18" i="4"/>
  <c r="I16" i="4"/>
  <c r="G21" i="4"/>
  <c r="J20" i="4"/>
  <c r="L20" i="4" s="1"/>
  <c r="G11" i="1"/>
  <c r="G9" i="1"/>
  <c r="G13" i="1" s="1"/>
  <c r="G22" i="4" l="1"/>
  <c r="H19" i="4"/>
  <c r="I18" i="4"/>
  <c r="J21" i="4"/>
  <c r="J22" i="4" s="1"/>
  <c r="L21" i="4" l="1"/>
  <c r="I19" i="4"/>
  <c r="H20" i="4"/>
  <c r="G23" i="4"/>
  <c r="L22" i="4"/>
  <c r="J23" i="4"/>
  <c r="G24" i="4" l="1"/>
  <c r="H21" i="4"/>
  <c r="I20" i="4"/>
  <c r="L23" i="4"/>
  <c r="J24" i="4"/>
  <c r="H22" i="4" l="1"/>
  <c r="I21" i="4"/>
  <c r="G25" i="4"/>
  <c r="L24" i="4"/>
  <c r="J25" i="4"/>
  <c r="H23" i="4" l="1"/>
  <c r="I22" i="4"/>
  <c r="G26" i="4"/>
  <c r="L25" i="4"/>
  <c r="J26" i="4"/>
  <c r="H24" i="4" l="1"/>
  <c r="I23" i="4"/>
  <c r="G27" i="4"/>
  <c r="J27" i="4"/>
  <c r="L26" i="4"/>
  <c r="H25" i="4" l="1"/>
  <c r="I24" i="4"/>
  <c r="G28" i="4"/>
  <c r="L27" i="4"/>
  <c r="J28" i="4"/>
  <c r="G29" i="4" l="1"/>
  <c r="H26" i="4"/>
  <c r="I25" i="4"/>
  <c r="L28" i="4"/>
  <c r="J29" i="4"/>
  <c r="H27" i="4" l="1"/>
  <c r="I26" i="4"/>
  <c r="G30" i="4"/>
  <c r="L29" i="4"/>
  <c r="J30" i="4"/>
  <c r="H28" i="4" l="1"/>
  <c r="I27" i="4"/>
  <c r="G31" i="4"/>
  <c r="J31" i="4"/>
  <c r="L30" i="4"/>
  <c r="G32" i="4" l="1"/>
  <c r="H29" i="4"/>
  <c r="I28" i="4"/>
  <c r="J32" i="4"/>
  <c r="L31" i="4"/>
  <c r="H30" i="4" l="1"/>
  <c r="I29" i="4"/>
  <c r="G33" i="4"/>
  <c r="J33" i="4"/>
  <c r="L32" i="4"/>
  <c r="G34" i="4" l="1"/>
  <c r="H31" i="4"/>
  <c r="I30" i="4"/>
  <c r="L33" i="4"/>
  <c r="J34" i="4"/>
  <c r="G35" i="4" l="1"/>
  <c r="H32" i="4"/>
  <c r="I31" i="4"/>
  <c r="J35" i="4"/>
  <c r="L34" i="4"/>
  <c r="H33" i="4" l="1"/>
  <c r="I32" i="4"/>
  <c r="G36" i="4"/>
  <c r="L35" i="4"/>
  <c r="J36" i="4"/>
  <c r="G37" i="4" l="1"/>
  <c r="H34" i="4"/>
  <c r="I33" i="4"/>
  <c r="L36" i="4"/>
  <c r="J37" i="4"/>
  <c r="H35" i="4" l="1"/>
  <c r="I34" i="4"/>
  <c r="G38" i="4"/>
  <c r="L37" i="4"/>
  <c r="J38" i="4"/>
  <c r="H36" i="4" l="1"/>
  <c r="I35" i="4"/>
  <c r="G39" i="4"/>
  <c r="L38" i="4"/>
  <c r="J39" i="4"/>
  <c r="G40" i="4" l="1"/>
  <c r="H37" i="4"/>
  <c r="I36" i="4"/>
  <c r="L39" i="4"/>
  <c r="J40" i="4"/>
  <c r="H38" i="4" l="1"/>
  <c r="I37" i="4"/>
  <c r="G41" i="4"/>
  <c r="L40" i="4"/>
  <c r="J41" i="4"/>
  <c r="G42" i="4" l="1"/>
  <c r="H39" i="4"/>
  <c r="I38" i="4"/>
  <c r="L41" i="4"/>
  <c r="J42" i="4"/>
  <c r="H40" i="4" l="1"/>
  <c r="I39" i="4"/>
  <c r="G43" i="4"/>
  <c r="L42" i="4"/>
  <c r="J43" i="4"/>
  <c r="G44" i="4" l="1"/>
  <c r="H41" i="4"/>
  <c r="I40" i="4"/>
  <c r="L43" i="4"/>
  <c r="J44" i="4"/>
  <c r="H42" i="4" l="1"/>
  <c r="I41" i="4"/>
  <c r="G45" i="4"/>
  <c r="L44" i="4"/>
  <c r="J45" i="4"/>
  <c r="G46" i="4" l="1"/>
  <c r="H43" i="4"/>
  <c r="I42" i="4"/>
  <c r="L45" i="4"/>
  <c r="J46" i="4"/>
  <c r="H44" i="4" l="1"/>
  <c r="I43" i="4"/>
  <c r="G47" i="4"/>
  <c r="L46" i="4"/>
  <c r="J47" i="4"/>
  <c r="G48" i="4" l="1"/>
  <c r="H45" i="4"/>
  <c r="I44" i="4"/>
  <c r="J48" i="4"/>
  <c r="L47" i="4"/>
  <c r="H46" i="4" l="1"/>
  <c r="I45" i="4"/>
  <c r="G49" i="4"/>
  <c r="J49" i="4"/>
  <c r="L48" i="4"/>
  <c r="G50" i="4" l="1"/>
  <c r="H47" i="4"/>
  <c r="I46" i="4"/>
  <c r="L49" i="4"/>
  <c r="J50" i="4"/>
  <c r="H48" i="4" l="1"/>
  <c r="I47" i="4"/>
  <c r="G51" i="4"/>
  <c r="J51" i="4"/>
  <c r="L50" i="4"/>
  <c r="H49" i="4" l="1"/>
  <c r="I48" i="4"/>
  <c r="G52" i="4"/>
  <c r="L51" i="4"/>
  <c r="J52" i="4"/>
  <c r="G53" i="4" l="1"/>
  <c r="H50" i="4"/>
  <c r="I49" i="4"/>
  <c r="L52" i="4"/>
  <c r="J53" i="4"/>
  <c r="H51" i="4" l="1"/>
  <c r="I50" i="4"/>
  <c r="G54" i="4"/>
  <c r="J54" i="4"/>
  <c r="L53" i="4"/>
  <c r="G55" i="4" l="1"/>
  <c r="H52" i="4"/>
  <c r="I51" i="4"/>
  <c r="L54" i="4"/>
  <c r="J55" i="4"/>
  <c r="H53" i="4" l="1"/>
  <c r="I52" i="4"/>
  <c r="G56" i="4"/>
  <c r="L55" i="4"/>
  <c r="J56" i="4"/>
  <c r="G57" i="4" l="1"/>
  <c r="H54" i="4"/>
  <c r="I53" i="4"/>
  <c r="L56" i="4"/>
  <c r="J57" i="4"/>
  <c r="G58" i="4" l="1"/>
  <c r="H55" i="4"/>
  <c r="I54" i="4"/>
  <c r="L57" i="4"/>
  <c r="J58" i="4"/>
  <c r="H56" i="4" l="1"/>
  <c r="I55" i="4"/>
  <c r="G59" i="4"/>
  <c r="L58" i="4"/>
  <c r="J59" i="4"/>
  <c r="G60" i="4" l="1"/>
  <c r="H57" i="4"/>
  <c r="I56" i="4"/>
  <c r="L59" i="4"/>
  <c r="J60" i="4"/>
  <c r="H58" i="4" l="1"/>
  <c r="I57" i="4"/>
  <c r="G61" i="4"/>
  <c r="L60" i="4"/>
  <c r="J61" i="4"/>
  <c r="G62" i="4" l="1"/>
  <c r="H59" i="4"/>
  <c r="I58" i="4"/>
  <c r="L61" i="4"/>
  <c r="J62" i="4"/>
  <c r="H60" i="4" l="1"/>
  <c r="I59" i="4"/>
  <c r="G63" i="4"/>
  <c r="L62" i="4"/>
  <c r="J63" i="4"/>
  <c r="G64" i="4" l="1"/>
  <c r="H61" i="4"/>
  <c r="I60" i="4"/>
  <c r="L63" i="4"/>
  <c r="J64" i="4"/>
  <c r="H62" i="4" l="1"/>
  <c r="I61" i="4"/>
  <c r="G65" i="4"/>
  <c r="L64" i="4"/>
  <c r="J65" i="4"/>
  <c r="G66" i="4" l="1"/>
  <c r="H63" i="4"/>
  <c r="I62" i="4"/>
  <c r="J66" i="4"/>
  <c r="L65" i="4"/>
  <c r="G67" i="4" l="1"/>
  <c r="H64" i="4"/>
  <c r="I63" i="4"/>
  <c r="J67" i="4"/>
  <c r="L66" i="4"/>
  <c r="G68" i="4" l="1"/>
  <c r="H65" i="4"/>
  <c r="I64" i="4"/>
  <c r="L67" i="4"/>
  <c r="J68" i="4"/>
  <c r="H66" i="4" l="1"/>
  <c r="I65" i="4"/>
  <c r="G69" i="4"/>
  <c r="L68" i="4"/>
  <c r="J69" i="4"/>
  <c r="G70" i="4" l="1"/>
  <c r="H67" i="4"/>
  <c r="I66" i="4"/>
  <c r="L69" i="4"/>
  <c r="J70" i="4"/>
  <c r="H68" i="4" l="1"/>
  <c r="I67" i="4"/>
  <c r="G71" i="4"/>
  <c r="J71" i="4"/>
  <c r="L70" i="4"/>
  <c r="G72" i="4" l="1"/>
  <c r="H69" i="4"/>
  <c r="I68" i="4"/>
  <c r="J72" i="4"/>
  <c r="L71" i="4"/>
  <c r="H70" i="4" l="1"/>
  <c r="I69" i="4"/>
  <c r="G73" i="4"/>
  <c r="L72" i="4"/>
  <c r="J73" i="4"/>
  <c r="H71" i="4" l="1"/>
  <c r="I70" i="4"/>
  <c r="G74" i="4"/>
  <c r="L73" i="4"/>
  <c r="J74" i="4"/>
  <c r="G75" i="4" l="1"/>
  <c r="H72" i="4"/>
  <c r="I71" i="4"/>
  <c r="J75" i="4"/>
  <c r="L74" i="4"/>
  <c r="H73" i="4" l="1"/>
  <c r="I72" i="4"/>
  <c r="G76" i="4"/>
  <c r="J76" i="4"/>
  <c r="L75" i="4"/>
  <c r="G77" i="4" l="1"/>
  <c r="H74" i="4"/>
  <c r="I73" i="4"/>
  <c r="L76" i="4"/>
  <c r="J77" i="4"/>
  <c r="H75" i="4" l="1"/>
  <c r="I74" i="4"/>
  <c r="G78" i="4"/>
  <c r="L77" i="4"/>
  <c r="J78" i="4"/>
  <c r="G79" i="4" l="1"/>
  <c r="H76" i="4"/>
  <c r="I75" i="4"/>
  <c r="J79" i="4"/>
  <c r="L78" i="4"/>
  <c r="H77" i="4" l="1"/>
  <c r="I76" i="4"/>
  <c r="G80" i="4"/>
  <c r="J80" i="4"/>
  <c r="L79" i="4"/>
  <c r="G81" i="4" l="1"/>
  <c r="H78" i="4"/>
  <c r="I77" i="4"/>
  <c r="L80" i="4"/>
  <c r="J81" i="4"/>
  <c r="H79" i="4" l="1"/>
  <c r="I78" i="4"/>
  <c r="G82" i="4"/>
  <c r="L81" i="4"/>
  <c r="J82" i="4"/>
  <c r="G83" i="4" l="1"/>
  <c r="H80" i="4"/>
  <c r="I79" i="4"/>
  <c r="J83" i="4"/>
  <c r="L82" i="4"/>
  <c r="G84" i="4" l="1"/>
  <c r="H81" i="4"/>
  <c r="I80" i="4"/>
  <c r="L83" i="4"/>
  <c r="J84" i="4"/>
  <c r="H82" i="4" l="1"/>
  <c r="I81" i="4"/>
  <c r="G85" i="4"/>
  <c r="L84" i="4"/>
  <c r="J85" i="4"/>
  <c r="G86" i="4" l="1"/>
  <c r="H83" i="4"/>
  <c r="I82" i="4"/>
  <c r="J86" i="4"/>
  <c r="L85" i="4"/>
  <c r="G87" i="4" l="1"/>
  <c r="H84" i="4"/>
  <c r="I83" i="4"/>
  <c r="L86" i="4"/>
  <c r="J87" i="4"/>
  <c r="H85" i="4" l="1"/>
  <c r="I84" i="4"/>
  <c r="G88" i="4"/>
  <c r="J88" i="4"/>
  <c r="L87" i="4"/>
  <c r="G89" i="4" l="1"/>
  <c r="H86" i="4"/>
  <c r="I85" i="4"/>
  <c r="L88" i="4"/>
  <c r="J89" i="4"/>
  <c r="H87" i="4" l="1"/>
  <c r="I86" i="4"/>
  <c r="G90" i="4"/>
  <c r="L89" i="4"/>
  <c r="J90" i="4"/>
  <c r="H88" i="4" l="1"/>
  <c r="I87" i="4"/>
  <c r="G91" i="4"/>
  <c r="L90" i="4"/>
  <c r="J91" i="4"/>
  <c r="G92" i="4" l="1"/>
  <c r="H89" i="4"/>
  <c r="I88" i="4"/>
  <c r="L91" i="4"/>
  <c r="J92" i="4"/>
  <c r="H90" i="4" l="1"/>
  <c r="I89" i="4"/>
  <c r="G93" i="4"/>
  <c r="L92" i="4"/>
  <c r="J93" i="4"/>
  <c r="G94" i="4" l="1"/>
  <c r="H91" i="4"/>
  <c r="I90" i="4"/>
  <c r="L93" i="4"/>
  <c r="J94" i="4"/>
  <c r="H92" i="4" l="1"/>
  <c r="I91" i="4"/>
  <c r="G95" i="4"/>
  <c r="J95" i="4"/>
  <c r="L94" i="4"/>
  <c r="G96" i="4" l="1"/>
  <c r="H93" i="4"/>
  <c r="I92" i="4"/>
  <c r="L95" i="4"/>
  <c r="J96" i="4"/>
  <c r="H94" i="4" l="1"/>
  <c r="I93" i="4"/>
  <c r="G97" i="4"/>
  <c r="J97" i="4"/>
  <c r="L96" i="4"/>
  <c r="G98" i="4" l="1"/>
  <c r="H95" i="4"/>
  <c r="I94" i="4"/>
  <c r="L97" i="4"/>
  <c r="J98" i="4"/>
  <c r="G99" i="4" l="1"/>
  <c r="H96" i="4"/>
  <c r="I95" i="4"/>
  <c r="J99" i="4"/>
  <c r="L98" i="4"/>
  <c r="H97" i="4" l="1"/>
  <c r="I96" i="4"/>
  <c r="G100" i="4"/>
  <c r="L99" i="4"/>
  <c r="J100" i="4"/>
  <c r="G101" i="4" l="1"/>
  <c r="H98" i="4"/>
  <c r="I97" i="4"/>
  <c r="J101" i="4"/>
  <c r="L100" i="4"/>
  <c r="H99" i="4" l="1"/>
  <c r="I98" i="4"/>
  <c r="G102" i="4"/>
  <c r="J102" i="4"/>
  <c r="L101" i="4"/>
  <c r="G103" i="4" l="1"/>
  <c r="H100" i="4"/>
  <c r="I99" i="4"/>
  <c r="L102" i="4"/>
  <c r="J103" i="4"/>
  <c r="H101" i="4" l="1"/>
  <c r="I100" i="4"/>
  <c r="G104" i="4"/>
  <c r="J104" i="4"/>
  <c r="L103" i="4"/>
  <c r="G105" i="4" l="1"/>
  <c r="H102" i="4"/>
  <c r="I101" i="4"/>
  <c r="L104" i="4"/>
  <c r="J105" i="4"/>
  <c r="G106" i="4" l="1"/>
  <c r="H103" i="4"/>
  <c r="I102" i="4"/>
  <c r="L105" i="4"/>
  <c r="J106" i="4"/>
  <c r="L106" i="4" s="1"/>
  <c r="H104" i="4" l="1"/>
  <c r="I103" i="4"/>
  <c r="H105" i="4" l="1"/>
  <c r="I104" i="4"/>
  <c r="H106" i="4" l="1"/>
  <c r="I106" i="4" s="1"/>
  <c r="I105" i="4"/>
</calcChain>
</file>

<file path=xl/sharedStrings.xml><?xml version="1.0" encoding="utf-8"?>
<sst xmlns="http://schemas.openxmlformats.org/spreadsheetml/2006/main" count="87" uniqueCount="49">
  <si>
    <t>S&amp;P 500</t>
  </si>
  <si>
    <t>Year</t>
  </si>
  <si>
    <t>https://seekingalpha.com/instablog/605212-robert-allan-schwartz/4831186-annual-returns-s-and-p-500-1928-2015</t>
  </si>
  <si>
    <t>http://pages.stern.nyu.edu/~adamodar/New_Home_Page/datafile/histretSP.html</t>
  </si>
  <si>
    <t>3-month T.Bill</t>
  </si>
  <si>
    <t>10-year T. Bond</t>
  </si>
  <si>
    <t>Stocks</t>
  </si>
  <si>
    <t>Inflation</t>
  </si>
  <si>
    <t>Sources</t>
  </si>
  <si>
    <t>http://www.usinflationcalculator.com/inflation/historical-inflation-rates/</t>
  </si>
  <si>
    <t>Withdrawal Rate</t>
  </si>
  <si>
    <t>Savings Rate</t>
  </si>
  <si>
    <t>Annual Spend</t>
  </si>
  <si>
    <t>Bonds</t>
  </si>
  <si>
    <t>Target</t>
  </si>
  <si>
    <t>min years</t>
  </si>
  <si>
    <t>max years</t>
  </si>
  <si>
    <t>avg years</t>
  </si>
  <si>
    <t>Starting Value</t>
  </si>
  <si>
    <t>years</t>
  </si>
  <si>
    <t>Length of Retirement</t>
  </si>
  <si>
    <t>Stock</t>
  </si>
  <si>
    <t>Inputs</t>
  </si>
  <si>
    <t>Results</t>
  </si>
  <si>
    <t>Min end portfolio value</t>
  </si>
  <si>
    <t>Max end portfolio value</t>
  </si>
  <si>
    <t>Avg end portfolio value</t>
  </si>
  <si>
    <t># simulations</t>
  </si>
  <si>
    <t>*worst cast scenario survival time WITHOUT making any adjustments</t>
  </si>
  <si>
    <t>Min survival time</t>
  </si>
  <si>
    <t>ended higher than start</t>
  </si>
  <si>
    <t>Inflation(%)</t>
  </si>
  <si>
    <t>Succeeded</t>
  </si>
  <si>
    <t>Conservative estimate</t>
  </si>
  <si>
    <t>NO adjustments during bad market periods</t>
  </si>
  <si>
    <t>assumes flat withdrawal rate for entire period (older people tend to spend less)</t>
  </si>
  <si>
    <t>Salary (Chris)</t>
  </si>
  <si>
    <t>Salary (Shannon)</t>
  </si>
  <si>
    <t>additional</t>
  </si>
  <si>
    <t>total</t>
  </si>
  <si>
    <t>Cost of Living</t>
  </si>
  <si>
    <t>Possible Savings Rate</t>
  </si>
  <si>
    <t>Simple Savings Rate Calculator</t>
  </si>
  <si>
    <t>Total</t>
  </si>
  <si>
    <t>Bond</t>
  </si>
  <si>
    <t>Initial Balance</t>
  </si>
  <si>
    <t>With Inflation</t>
  </si>
  <si>
    <t>Without Inflation</t>
  </si>
  <si>
    <t>http://www.macrotrends.net/2324/sp-500-historical-chart-data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</si>
</sst>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&quot;$&quot;#,##0.00"/>
    <numFmt numFmtId="165" formatCode="0.0"/>
    <numFmt numFmtId="166" formatCode="0.0%"/>
    <numFmt numFmtId="167" formatCode="&quot;$&quot;#,##0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i/>
      <sz val="12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indexed="64"/>
      </patternFill>
    </fill>
    <fill>
      <patternFill patternType="solid">
        <fgColor rgb="FFDAE9FC"/>
        <bgColor indexed="64"/>
      </patternFill>
    </fill>
  </fills>
  <borders count="2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73">
    <xf numFmtId="0" fontId="0" fillId="0" borderId="0" xfId="0"/>
    <xf numFmtId="10" fontId="3" fillId="4" borderId="2" xfId="0" applyNumberFormat="1" applyFont="1" applyFill="1" applyBorder="1" applyAlignment="1">
      <alignment vertical="center" wrapText="1"/>
    </xf>
    <xf numFmtId="10" fontId="3" fillId="0" borderId="2" xfId="0" applyNumberFormat="1" applyFont="1" applyBorder="1" applyAlignment="1">
      <alignment vertical="center" wrapText="1"/>
    </xf>
    <xf numFmtId="10" fontId="3" fillId="4" borderId="3" xfId="0" applyNumberFormat="1" applyFont="1" applyFill="1" applyBorder="1" applyAlignment="1">
      <alignment vertical="center" wrapText="1"/>
    </xf>
    <xf numFmtId="10" fontId="3" fillId="0" borderId="0" xfId="0" applyNumberFormat="1" applyFont="1" applyBorder="1" applyAlignment="1">
      <alignment vertical="center" wrapText="1"/>
    </xf>
    <xf numFmtId="9" fontId="0" fillId="0" borderId="0" xfId="0" applyNumberFormat="1"/>
    <xf numFmtId="164" fontId="0" fillId="0" borderId="0" xfId="0" applyNumberFormat="1"/>
    <xf numFmtId="10" fontId="3" fillId="4" borderId="5" xfId="0" applyNumberFormat="1" applyFont="1" applyFill="1" applyBorder="1" applyAlignment="1">
      <alignment vertical="center" wrapText="1"/>
    </xf>
    <xf numFmtId="0" fontId="0" fillId="0" borderId="0" xfId="0" applyBorder="1"/>
    <xf numFmtId="0" fontId="0" fillId="0" borderId="9" xfId="0" applyBorder="1"/>
    <xf numFmtId="0" fontId="3" fillId="4" borderId="11" xfId="0" applyFont="1" applyFill="1" applyBorder="1" applyAlignment="1">
      <alignment vertical="center" wrapText="1"/>
    </xf>
    <xf numFmtId="0" fontId="0" fillId="5" borderId="12" xfId="0" applyFill="1" applyBorder="1" applyAlignment="1">
      <alignment horizontal="center" vertical="center" wrapText="1"/>
    </xf>
    <xf numFmtId="0" fontId="3" fillId="0" borderId="13" xfId="0" applyFont="1" applyBorder="1" applyAlignment="1">
      <alignment vertical="center" wrapText="1"/>
    </xf>
    <xf numFmtId="0" fontId="0" fillId="6" borderId="14" xfId="0" applyFill="1" applyBorder="1" applyAlignment="1">
      <alignment horizontal="center" vertical="center" wrapText="1"/>
    </xf>
    <xf numFmtId="0" fontId="3" fillId="4" borderId="13" xfId="0" applyFont="1" applyFill="1" applyBorder="1" applyAlignment="1">
      <alignment vertical="center" wrapText="1"/>
    </xf>
    <xf numFmtId="0" fontId="0" fillId="5" borderId="14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3" fillId="0" borderId="6" xfId="0" applyFont="1" applyBorder="1" applyAlignment="1">
      <alignment vertical="center" wrapText="1"/>
    </xf>
    <xf numFmtId="0" fontId="3" fillId="4" borderId="15" xfId="0" applyFont="1" applyFill="1" applyBorder="1" applyAlignment="1">
      <alignment vertical="center" wrapText="1"/>
    </xf>
    <xf numFmtId="0" fontId="3" fillId="0" borderId="16" xfId="0" applyFont="1" applyBorder="1" applyAlignment="1">
      <alignment vertical="center" wrapText="1"/>
    </xf>
    <xf numFmtId="10" fontId="3" fillId="0" borderId="17" xfId="0" applyNumberFormat="1" applyFont="1" applyBorder="1" applyAlignment="1">
      <alignment vertical="center" wrapText="1"/>
    </xf>
    <xf numFmtId="0" fontId="0" fillId="6" borderId="18" xfId="0" applyFill="1" applyBorder="1" applyAlignment="1">
      <alignment horizontal="center" vertical="center" wrapText="1"/>
    </xf>
    <xf numFmtId="0" fontId="0" fillId="0" borderId="4" xfId="0" applyBorder="1"/>
    <xf numFmtId="0" fontId="4" fillId="0" borderId="6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  <xf numFmtId="0" fontId="4" fillId="0" borderId="2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 wrapText="1"/>
    </xf>
    <xf numFmtId="0" fontId="4" fillId="0" borderId="22" xfId="0" applyFont="1" applyFill="1" applyBorder="1" applyAlignment="1">
      <alignment horizontal="center" vertical="center" wrapText="1"/>
    </xf>
    <xf numFmtId="0" fontId="6" fillId="0" borderId="6" xfId="0" applyFont="1" applyBorder="1"/>
    <xf numFmtId="0" fontId="6" fillId="0" borderId="0" xfId="0" applyFont="1" applyBorder="1"/>
    <xf numFmtId="0" fontId="6" fillId="0" borderId="8" xfId="0" applyFont="1" applyBorder="1"/>
    <xf numFmtId="0" fontId="6" fillId="0" borderId="9" xfId="0" applyFont="1" applyBorder="1"/>
    <xf numFmtId="0" fontId="6" fillId="0" borderId="4" xfId="0" applyFont="1" applyBorder="1"/>
    <xf numFmtId="0" fontId="6" fillId="0" borderId="0" xfId="0" applyFont="1"/>
    <xf numFmtId="167" fontId="0" fillId="0" borderId="0" xfId="0" applyNumberFormat="1"/>
    <xf numFmtId="164" fontId="1" fillId="2" borderId="1" xfId="1" applyNumberFormat="1"/>
    <xf numFmtId="0" fontId="1" fillId="2" borderId="1" xfId="1"/>
    <xf numFmtId="9" fontId="1" fillId="2" borderId="1" xfId="1" applyNumberFormat="1"/>
    <xf numFmtId="9" fontId="2" fillId="3" borderId="1" xfId="2" applyNumberFormat="1"/>
    <xf numFmtId="0" fontId="2" fillId="3" borderId="1" xfId="2"/>
    <xf numFmtId="166" fontId="2" fillId="3" borderId="1" xfId="2" applyNumberFormat="1"/>
    <xf numFmtId="164" fontId="2" fillId="3" borderId="1" xfId="2" applyNumberFormat="1"/>
    <xf numFmtId="0" fontId="2" fillId="3" borderId="1" xfId="2" applyNumberFormat="1"/>
    <xf numFmtId="9" fontId="1" fillId="2" borderId="2" xfId="1" applyNumberFormat="1" applyBorder="1"/>
    <xf numFmtId="0" fontId="2" fillId="3" borderId="2" xfId="2" applyBorder="1"/>
    <xf numFmtId="9" fontId="2" fillId="3" borderId="2" xfId="2" applyNumberFormat="1" applyBorder="1"/>
    <xf numFmtId="0" fontId="0" fillId="0" borderId="17" xfId="0" applyBorder="1"/>
    <xf numFmtId="165" fontId="6" fillId="0" borderId="19" xfId="0" applyNumberFormat="1" applyFont="1" applyBorder="1"/>
    <xf numFmtId="0" fontId="6" fillId="0" borderId="19" xfId="0" applyFont="1" applyBorder="1"/>
    <xf numFmtId="0" fontId="6" fillId="0" borderId="23" xfId="0" applyFont="1" applyBorder="1"/>
    <xf numFmtId="9" fontId="1" fillId="2" borderId="24" xfId="1" applyNumberFormat="1" applyBorder="1"/>
    <xf numFmtId="9" fontId="1" fillId="2" borderId="25" xfId="1" applyNumberFormat="1" applyBorder="1"/>
    <xf numFmtId="9" fontId="1" fillId="2" borderId="26" xfId="1" applyNumberFormat="1" applyBorder="1"/>
    <xf numFmtId="0" fontId="2" fillId="3" borderId="13" xfId="2" applyBorder="1"/>
    <xf numFmtId="0" fontId="2" fillId="3" borderId="27" xfId="2" applyBorder="1"/>
    <xf numFmtId="9" fontId="1" fillId="2" borderId="13" xfId="1" applyNumberFormat="1" applyBorder="1"/>
    <xf numFmtId="9" fontId="1" fillId="2" borderId="27" xfId="1" applyNumberFormat="1" applyBorder="1"/>
    <xf numFmtId="9" fontId="2" fillId="3" borderId="13" xfId="2" applyNumberFormat="1" applyBorder="1"/>
    <xf numFmtId="9" fontId="2" fillId="3" borderId="27" xfId="2" applyNumberFormat="1" applyBorder="1"/>
    <xf numFmtId="0" fontId="0" fillId="0" borderId="16" xfId="0" applyBorder="1"/>
    <xf numFmtId="0" fontId="0" fillId="0" borderId="28" xfId="0" applyBorder="1"/>
    <xf numFmtId="0" fontId="6" fillId="0" borderId="7" xfId="0" applyFont="1" applyBorder="1"/>
    <xf numFmtId="167" fontId="1" fillId="2" borderId="1" xfId="1" applyNumberFormat="1"/>
    <xf numFmtId="167" fontId="2" fillId="3" borderId="1" xfId="2" applyNumberFormat="1"/>
    <xf numFmtId="0" fontId="6" fillId="0" borderId="0" xfId="0" applyFont="1" applyAlignment="1">
      <alignment horizontal="center"/>
    </xf>
    <xf numFmtId="10" fontId="1" fillId="2" borderId="1" xfId="1" applyNumberFormat="1"/>
    <xf numFmtId="10" fontId="1" fillId="2" borderId="2" xfId="1" applyNumberFormat="1" applyBorder="1"/>
    <xf numFmtId="10" fontId="1" fillId="2" borderId="13" xfId="1" applyNumberFormat="1" applyBorder="1"/>
    <xf numFmtId="10" fontId="1" fillId="2" borderId="27" xfId="1" applyNumberFormat="1" applyBorder="1"/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Survivability'!$F$18:$BD$18</c15:sqref>
                  </c15:fullRef>
                </c:ext>
              </c:extLst>
              <c:f>'Portfolio Survivability'!$F$18:$AT$18</c:f>
              <c:numCache>
                <c:formatCode>"$"#,##0.00</c:formatCode>
                <c:ptCount val="41"/>
                <c:pt idx="0">
                  <c:v>1</c:v>
                </c:pt>
                <c:pt idx="1">
                  <c:v>1.3226161152959999</c:v>
                </c:pt>
                <c:pt idx="2">
                  <c:v>1.2099199806088319</c:v>
                </c:pt>
                <c:pt idx="3">
                  <c:v>0.96866882879639005</c:v>
                </c:pt>
                <c:pt idx="4">
                  <c:v>0.65331417282565607</c:v>
                </c:pt>
                <c:pt idx="5">
                  <c:v>0.64116889600568561</c:v>
                </c:pt>
                <c:pt idx="6">
                  <c:v>0.88946447788530481</c:v>
                </c:pt>
                <c:pt idx="7">
                  <c:v>0.8301544808569139</c:v>
                </c:pt>
                <c:pt idx="8">
                  <c:v>1.0710686055830407</c:v>
                </c:pt>
                <c:pt idx="9">
                  <c:v>1.2875498345944478</c:v>
                </c:pt>
                <c:pt idx="10">
                  <c:v>0.86719690812493633</c:v>
                </c:pt>
                <c:pt idx="11">
                  <c:v>1.0517946851053945</c:v>
                </c:pt>
                <c:pt idx="12">
                  <c:v>1.0278055663970838</c:v>
                </c:pt>
                <c:pt idx="13">
                  <c:v>0.90940983133895159</c:v>
                </c:pt>
                <c:pt idx="14">
                  <c:v>0.7397529798882172</c:v>
                </c:pt>
                <c:pt idx="15">
                  <c:v>0.72380942546080018</c:v>
                </c:pt>
                <c:pt idx="16">
                  <c:v>0.77605977899700151</c:v>
                </c:pt>
                <c:pt idx="17">
                  <c:v>0.83948092677154018</c:v>
                </c:pt>
                <c:pt idx="18">
                  <c:v>1.0131350525342715</c:v>
                </c:pt>
                <c:pt idx="19">
                  <c:v>0.83931957836054605</c:v>
                </c:pt>
                <c:pt idx="20">
                  <c:v>0.71554770219491615</c:v>
                </c:pt>
                <c:pt idx="21">
                  <c:v>0.65329542396382589</c:v>
                </c:pt>
                <c:pt idx="22">
                  <c:v>0.7194086203840746</c:v>
                </c:pt>
                <c:pt idx="23">
                  <c:v>0.83865267666272325</c:v>
                </c:pt>
                <c:pt idx="24">
                  <c:v>0.87643295747393879</c:v>
                </c:pt>
                <c:pt idx="25">
                  <c:v>0.9454387112760908</c:v>
                </c:pt>
                <c:pt idx="26">
                  <c:v>0.89872082846366186</c:v>
                </c:pt>
                <c:pt idx="27">
                  <c:v>1.2194187494930817</c:v>
                </c:pt>
                <c:pt idx="28">
                  <c:v>1.492059392844685</c:v>
                </c:pt>
                <c:pt idx="29">
                  <c:v>1.5108143345593754</c:v>
                </c:pt>
                <c:pt idx="30">
                  <c:v>1.3242228757676704</c:v>
                </c:pt>
                <c:pt idx="31">
                  <c:v>1.6819691543778439</c:v>
                </c:pt>
                <c:pt idx="32">
                  <c:v>1.7810924896928979</c:v>
                </c:pt>
                <c:pt idx="33">
                  <c:v>1.7578081636196896</c:v>
                </c:pt>
                <c:pt idx="34">
                  <c:v>2.0722440826735866</c:v>
                </c:pt>
                <c:pt idx="35">
                  <c:v>1.8946937566137021</c:v>
                </c:pt>
                <c:pt idx="36">
                  <c:v>2.1699532221698918</c:v>
                </c:pt>
                <c:pt idx="37">
                  <c:v>2.3961233228133869</c:v>
                </c:pt>
                <c:pt idx="38">
                  <c:v>2.5537011304049853</c:v>
                </c:pt>
                <c:pt idx="39">
                  <c:v>2.2619493324949782</c:v>
                </c:pt>
                <c:pt idx="40">
                  <c:v>2.5582803086284867</c:v>
                </c:pt>
              </c:numCache>
            </c:numRef>
          </c:val>
          <c:smooth val="0"/>
        </c:ser>
        <c:ser>
          <c:idx val="1"/>
          <c:order val="1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Survivability'!$F$19:$BD$19</c15:sqref>
                  </c15:fullRef>
                </c:ext>
              </c:extLst>
              <c:f>'Portfolio Survivability'!$F$19:$AT$19</c:f>
              <c:numCache>
                <c:formatCode>"$"#,##0.00</c:formatCode>
                <c:ptCount val="41"/>
                <c:pt idx="0">
                  <c:v>1</c:v>
                </c:pt>
                <c:pt idx="1">
                  <c:v>0.90601560000000003</c:v>
                </c:pt>
                <c:pt idx="2">
                  <c:v>0.71742902295345601</c:v>
                </c:pt>
                <c:pt idx="3">
                  <c:v>0.47691006249401102</c:v>
                </c:pt>
                <c:pt idx="4">
                  <c:v>0.45729274151450355</c:v>
                </c:pt>
                <c:pt idx="5">
                  <c:v>0.61822112050238154</c:v>
                </c:pt>
                <c:pt idx="6">
                  <c:v>0.56563752474771523</c:v>
                </c:pt>
                <c:pt idx="7">
                  <c:v>0.7133260658522278</c:v>
                </c:pt>
                <c:pt idx="8">
                  <c:v>0.84159635574144609</c:v>
                </c:pt>
                <c:pt idx="9">
                  <c:v>0.55765232155650024</c:v>
                </c:pt>
                <c:pt idx="10">
                  <c:v>0.65905817696541402</c:v>
                </c:pt>
                <c:pt idx="11">
                  <c:v>0.62956278244675867</c:v>
                </c:pt>
                <c:pt idx="12">
                  <c:v>0.54343987797381565</c:v>
                </c:pt>
                <c:pt idx="13">
                  <c:v>0.42900423278634658</c:v>
                </c:pt>
                <c:pt idx="14">
                  <c:v>0.40320231730154632</c:v>
                </c:pt>
                <c:pt idx="15">
                  <c:v>0.41315595611604838</c:v>
                </c:pt>
                <c:pt idx="16">
                  <c:v>0.42659646520736627</c:v>
                </c:pt>
                <c:pt idx="17">
                  <c:v>0.49108628451627151</c:v>
                </c:pt>
                <c:pt idx="18">
                  <c:v>0.38988886939431205</c:v>
                </c:pt>
                <c:pt idx="19">
                  <c:v>0.31412309620196555</c:v>
                </c:pt>
                <c:pt idx="20">
                  <c:v>0.26612520501738185</c:v>
                </c:pt>
                <c:pt idx="21">
                  <c:v>0.2665787305580008</c:v>
                </c:pt>
                <c:pt idx="22">
                  <c:v>0.28116266873915191</c:v>
                </c:pt>
                <c:pt idx="23">
                  <c:v>0.26602508371464895</c:v>
                </c:pt>
                <c:pt idx="24">
                  <c:v>0.25696275912682892</c:v>
                </c:pt>
                <c:pt idx="25">
                  <c:v>0.21670883933393892</c:v>
                </c:pt>
                <c:pt idx="26">
                  <c:v>0.25295962449007159</c:v>
                </c:pt>
                <c:pt idx="27">
                  <c:v>0.27127415227850266</c:v>
                </c:pt>
                <c:pt idx="28">
                  <c:v>0.24220483219401298</c:v>
                </c:pt>
                <c:pt idx="29">
                  <c:v>0.18344780382657927</c:v>
                </c:pt>
                <c:pt idx="30">
                  <c:v>0.18996732513921902</c:v>
                </c:pt>
                <c:pt idx="31">
                  <c:v>0.16444623155649513</c:v>
                </c:pt>
                <c:pt idx="32">
                  <c:v>0.1273266468061556</c:v>
                </c:pt>
                <c:pt idx="33">
                  <c:v>0.10740363436274158</c:v>
                </c:pt>
                <c:pt idx="34">
                  <c:v>6.4462562576184518E-2</c:v>
                </c:pt>
                <c:pt idx="35">
                  <c:v>3.0696861802852887E-2</c:v>
                </c:pt>
                <c:pt idx="36">
                  <c:v>-8.4336424317332983E-3</c:v>
                </c:pt>
                <c:pt idx="37">
                  <c:v>-5.0505622570765928E-2</c:v>
                </c:pt>
                <c:pt idx="38">
                  <c:v>-7.9764473701584862E-2</c:v>
                </c:pt>
                <c:pt idx="39">
                  <c:v>-0.13571052536298805</c:v>
                </c:pt>
                <c:pt idx="40">
                  <c:v>-0.18210399977009858</c:v>
                </c:pt>
              </c:numCache>
            </c:numRef>
          </c:val>
          <c:smooth val="0"/>
        </c:ser>
        <c:ser>
          <c:idx val="2"/>
          <c:order val="2"/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Survivability'!$F$20:$BD$20</c15:sqref>
                  </c15:fullRef>
                </c:ext>
              </c:extLst>
              <c:f>'Portfolio Survivability'!$F$20:$AT$20</c:f>
              <c:numCache>
                <c:formatCode>"$"#,##0.00</c:formatCode>
                <c:ptCount val="41"/>
                <c:pt idx="0">
                  <c:v>1</c:v>
                </c:pt>
                <c:pt idx="1">
                  <c:v>0.7951265617679999</c:v>
                </c:pt>
                <c:pt idx="2">
                  <c:v>0.53146417729103756</c:v>
                </c:pt>
                <c:pt idx="3">
                  <c:v>0.51415763441120976</c:v>
                </c:pt>
                <c:pt idx="4">
                  <c:v>0.70210488731926157</c:v>
                </c:pt>
                <c:pt idx="5">
                  <c:v>0.64744110836156354</c:v>
                </c:pt>
                <c:pt idx="6">
                  <c:v>0.82396026560847657</c:v>
                </c:pt>
                <c:pt idx="7">
                  <c:v>0.97951036031731176</c:v>
                </c:pt>
                <c:pt idx="8">
                  <c:v>0.65338099181653353</c:v>
                </c:pt>
                <c:pt idx="9">
                  <c:v>0.78051448832783887</c:v>
                </c:pt>
                <c:pt idx="10">
                  <c:v>0.75272194530225189</c:v>
                </c:pt>
                <c:pt idx="11">
                  <c:v>0.65661845873709235</c:v>
                </c:pt>
                <c:pt idx="12">
                  <c:v>0.52510529749825241</c:v>
                </c:pt>
                <c:pt idx="13">
                  <c:v>0.50235214408494755</c:v>
                </c:pt>
                <c:pt idx="14">
                  <c:v>0.52538631614851383</c:v>
                </c:pt>
                <c:pt idx="15">
                  <c:v>0.55428366179101496</c:v>
                </c:pt>
                <c:pt idx="16">
                  <c:v>0.65253325061336043</c:v>
                </c:pt>
                <c:pt idx="17">
                  <c:v>0.52887822992654576</c:v>
                </c:pt>
                <c:pt idx="18">
                  <c:v>0.43826625815277898</c:v>
                </c:pt>
                <c:pt idx="19">
                  <c:v>0.38586010535890286</c:v>
                </c:pt>
                <c:pt idx="20">
                  <c:v>0.40661930980897587</c:v>
                </c:pt>
                <c:pt idx="21">
                  <c:v>0.4535700680524653</c:v>
                </c:pt>
                <c:pt idx="22">
                  <c:v>0.45479767611891697</c:v>
                </c:pt>
                <c:pt idx="23">
                  <c:v>0.46987841091028526</c:v>
                </c:pt>
                <c:pt idx="24">
                  <c:v>0.42762546864593082</c:v>
                </c:pt>
                <c:pt idx="25">
                  <c:v>0.55184337472086087</c:v>
                </c:pt>
                <c:pt idx="26">
                  <c:v>0.64880990261422467</c:v>
                </c:pt>
                <c:pt idx="27">
                  <c:v>0.63453054554913702</c:v>
                </c:pt>
                <c:pt idx="28">
                  <c:v>0.53623989078679057</c:v>
                </c:pt>
                <c:pt idx="29">
                  <c:v>0.65137856389455584</c:v>
                </c:pt>
                <c:pt idx="30">
                  <c:v>0.66440456805300807</c:v>
                </c:pt>
                <c:pt idx="31">
                  <c:v>0.63156362674640565</c:v>
                </c:pt>
                <c:pt idx="32">
                  <c:v>0.71504328161058683</c:v>
                </c:pt>
                <c:pt idx="33">
                  <c:v>0.63047342523072714</c:v>
                </c:pt>
                <c:pt idx="34">
                  <c:v>0.69227576064099816</c:v>
                </c:pt>
                <c:pt idx="35">
                  <c:v>0.7351911884826503</c:v>
                </c:pt>
                <c:pt idx="36">
                  <c:v>0.75486219958447953</c:v>
                </c:pt>
                <c:pt idx="37">
                  <c:v>0.64442570284733414</c:v>
                </c:pt>
                <c:pt idx="38">
                  <c:v>0.69742360594156649</c:v>
                </c:pt>
                <c:pt idx="39">
                  <c:v>0.69028171316406861</c:v>
                </c:pt>
                <c:pt idx="40">
                  <c:v>0.56942168333373777</c:v>
                </c:pt>
              </c:numCache>
            </c:numRef>
          </c:val>
          <c:smooth val="0"/>
        </c:ser>
        <c:ser>
          <c:idx val="3"/>
          <c:order val="3"/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Survivability'!$F$21:$BD$21</c15:sqref>
                  </c15:fullRef>
                </c:ext>
              </c:extLst>
              <c:f>'Portfolio Survivability'!$F$21:$AT$21</c:f>
              <c:numCache>
                <c:formatCode>"$"#,##0.00</c:formatCode>
                <c:ptCount val="41"/>
                <c:pt idx="0">
                  <c:v>1</c:v>
                </c:pt>
                <c:pt idx="1">
                  <c:v>0.67531286592000006</c:v>
                </c:pt>
                <c:pt idx="2">
                  <c:v>0.66409939962272102</c:v>
                </c:pt>
                <c:pt idx="3">
                  <c:v>0.9232902167625241</c:v>
                </c:pt>
                <c:pt idx="4">
                  <c:v>0.8631413955311602</c:v>
                </c:pt>
                <c:pt idx="5">
                  <c:v>1.1156813321432872</c:v>
                </c:pt>
                <c:pt idx="6">
                  <c:v>1.3431630155866496</c:v>
                </c:pt>
                <c:pt idx="7">
                  <c:v>0.90579904923226273</c:v>
                </c:pt>
                <c:pt idx="8">
                  <c:v>1.1007713778438617</c:v>
                </c:pt>
                <c:pt idx="9">
                  <c:v>1.0774689260812185</c:v>
                </c:pt>
                <c:pt idx="10">
                  <c:v>0.95504856770793456</c:v>
                </c:pt>
                <c:pt idx="11">
                  <c:v>0.77850528732648439</c:v>
                </c:pt>
                <c:pt idx="12">
                  <c:v>0.76379113202648485</c:v>
                </c:pt>
                <c:pt idx="13">
                  <c:v>0.82131614976587497</c:v>
                </c:pt>
                <c:pt idx="14">
                  <c:v>0.89097019499946029</c:v>
                </c:pt>
                <c:pt idx="15">
                  <c:v>1.07823779082261</c:v>
                </c:pt>
                <c:pt idx="16">
                  <c:v>0.8953663916413358</c:v>
                </c:pt>
                <c:pt idx="17">
                  <c:v>0.76560785493826555</c:v>
                </c:pt>
                <c:pt idx="18">
                  <c:v>0.70157796571333508</c:v>
                </c:pt>
                <c:pt idx="19">
                  <c:v>0.77587933272462628</c:v>
                </c:pt>
                <c:pt idx="20">
                  <c:v>0.90817515867528575</c:v>
                </c:pt>
                <c:pt idx="21">
                  <c:v>0.95255462749600406</c:v>
                </c:pt>
                <c:pt idx="22">
                  <c:v>1.0312959577183276</c:v>
                </c:pt>
                <c:pt idx="23">
                  <c:v>0.98377197839050179</c:v>
                </c:pt>
                <c:pt idx="24">
                  <c:v>1.3399422318495757</c:v>
                </c:pt>
                <c:pt idx="25">
                  <c:v>1.6442989284815266</c:v>
                </c:pt>
                <c:pt idx="26">
                  <c:v>1.6690178540047904</c:v>
                </c:pt>
                <c:pt idx="27">
                  <c:v>1.4664846442158621</c:v>
                </c:pt>
                <c:pt idx="28">
                  <c:v>1.8680310906667048</c:v>
                </c:pt>
                <c:pt idx="29">
                  <c:v>1.982698363887099</c:v>
                </c:pt>
                <c:pt idx="30">
                  <c:v>1.9611393808852449</c:v>
                </c:pt>
                <c:pt idx="31">
                  <c:v>2.3172719446688679</c:v>
                </c:pt>
                <c:pt idx="32">
                  <c:v>2.1229350048115485</c:v>
                </c:pt>
                <c:pt idx="33">
                  <c:v>2.4367318365307535</c:v>
                </c:pt>
                <c:pt idx="34">
                  <c:v>2.6959865777389402</c:v>
                </c:pt>
                <c:pt idx="35">
                  <c:v>2.878461959419826</c:v>
                </c:pt>
                <c:pt idx="36">
                  <c:v>2.5539756534262543</c:v>
                </c:pt>
                <c:pt idx="37">
                  <c:v>2.8942377726837987</c:v>
                </c:pt>
                <c:pt idx="38">
                  <c:v>2.9905947372342943</c:v>
                </c:pt>
                <c:pt idx="39">
                  <c:v>2.5781394374398423</c:v>
                </c:pt>
                <c:pt idx="40">
                  <c:v>2.5436150853973394</c:v>
                </c:pt>
              </c:numCache>
            </c:numRef>
          </c:val>
          <c:smooth val="0"/>
        </c:ser>
        <c:ser>
          <c:idx val="4"/>
          <c:order val="4"/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Survivability'!$F$22:$BD$22</c15:sqref>
                  </c15:fullRef>
                </c:ext>
              </c:extLst>
              <c:f>'Portfolio Survivability'!$F$22:$AT$22</c:f>
              <c:numCache>
                <c:formatCode>"$"#,##0.00</c:formatCode>
                <c:ptCount val="41"/>
                <c:pt idx="0">
                  <c:v>1</c:v>
                </c:pt>
                <c:pt idx="1">
                  <c:v>1.0025394819719999</c:v>
                </c:pt>
                <c:pt idx="2">
                  <c:v>1.4225372478057678</c:v>
                </c:pt>
                <c:pt idx="3">
                  <c:v>1.350007898999781</c:v>
                </c:pt>
                <c:pt idx="4">
                  <c:v>1.774137644444199</c:v>
                </c:pt>
                <c:pt idx="5">
                  <c:v>2.1639792466232581</c:v>
                </c:pt>
                <c:pt idx="6">
                  <c:v>1.4755428295440209</c:v>
                </c:pt>
                <c:pt idx="7">
                  <c:v>1.8236371378129574</c:v>
                </c:pt>
                <c:pt idx="8">
                  <c:v>1.8104694664074936</c:v>
                </c:pt>
                <c:pt idx="9">
                  <c:v>1.6286481516072058</c:v>
                </c:pt>
                <c:pt idx="10">
                  <c:v>1.3504654300111945</c:v>
                </c:pt>
                <c:pt idx="11">
                  <c:v>1.3538964471362016</c:v>
                </c:pt>
                <c:pt idx="12">
                  <c:v>1.4892722533757528</c:v>
                </c:pt>
                <c:pt idx="13">
                  <c:v>1.6509200186141255</c:v>
                </c:pt>
                <c:pt idx="14">
                  <c:v>2.0391140312859948</c:v>
                </c:pt>
                <c:pt idx="15">
                  <c:v>1.7225827676512087</c:v>
                </c:pt>
                <c:pt idx="16">
                  <c:v>1.5044648159467484</c:v>
                </c:pt>
                <c:pt idx="17">
                  <c:v>1.4141984854648872</c:v>
                </c:pt>
                <c:pt idx="18">
                  <c:v>1.6093521972569373</c:v>
                </c:pt>
                <c:pt idx="19">
                  <c:v>1.9342840889640245</c:v>
                </c:pt>
                <c:pt idx="20">
                  <c:v>2.0760635002663954</c:v>
                </c:pt>
                <c:pt idx="21">
                  <c:v>2.2984959303611565</c:v>
                </c:pt>
                <c:pt idx="22">
                  <c:v>2.2390744639301818</c:v>
                </c:pt>
                <c:pt idx="23">
                  <c:v>3.1187944531087322</c:v>
                </c:pt>
                <c:pt idx="24">
                  <c:v>3.8912605233185391</c:v>
                </c:pt>
                <c:pt idx="25">
                  <c:v>4.0040041693195434</c:v>
                </c:pt>
                <c:pt idx="26">
                  <c:v>3.56618055290022</c:v>
                </c:pt>
                <c:pt idx="27">
                  <c:v>4.6141904464031285</c:v>
                </c:pt>
                <c:pt idx="28">
                  <c:v>4.9582766505190223</c:v>
                </c:pt>
                <c:pt idx="29">
                  <c:v>4.9621826664941651</c:v>
                </c:pt>
                <c:pt idx="30">
                  <c:v>5.9337319743537238</c:v>
                </c:pt>
                <c:pt idx="31">
                  <c:v>5.4916349743227242</c:v>
                </c:pt>
                <c:pt idx="32">
                  <c:v>6.3742195481500472</c:v>
                </c:pt>
                <c:pt idx="33">
                  <c:v>7.1217831666605234</c:v>
                </c:pt>
                <c:pt idx="34">
                  <c:v>7.6717313769283884</c:v>
                </c:pt>
                <c:pt idx="35">
                  <c:v>6.8641039329776721</c:v>
                </c:pt>
                <c:pt idx="36">
                  <c:v>7.85276261364137</c:v>
                </c:pt>
                <c:pt idx="37">
                  <c:v>8.182731352387874</c:v>
                </c:pt>
                <c:pt idx="38">
                  <c:v>7.1121036812057241</c:v>
                </c:pt>
                <c:pt idx="39">
                  <c:v>7.0841406101789444</c:v>
                </c:pt>
                <c:pt idx="40">
                  <c:v>7.634086692570035</c:v>
                </c:pt>
              </c:numCache>
            </c:numRef>
          </c:val>
          <c:smooth val="0"/>
        </c:ser>
        <c:ser>
          <c:idx val="5"/>
          <c:order val="5"/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Survivability'!$F$23:$BD$23</c15:sqref>
                  </c15:fullRef>
                </c:ext>
              </c:extLst>
              <c:f>'Portfolio Survivability'!$F$23:$AT$23</c:f>
              <c:numCache>
                <c:formatCode>"$"#,##0.00</c:formatCode>
                <c:ptCount val="41"/>
                <c:pt idx="0">
                  <c:v>1</c:v>
                </c:pt>
                <c:pt idx="1">
                  <c:v>1.4187911524079999</c:v>
                </c:pt>
                <c:pt idx="2">
                  <c:v>1.3463547007741252</c:v>
                </c:pt>
                <c:pt idx="3">
                  <c:v>1.7691969237032319</c:v>
                </c:pt>
                <c:pt idx="4">
                  <c:v>2.1578202597604341</c:v>
                </c:pt>
                <c:pt idx="5">
                  <c:v>1.4712677624517385</c:v>
                </c:pt>
                <c:pt idx="6">
                  <c:v>1.8182131213877308</c:v>
                </c:pt>
                <c:pt idx="7">
                  <c:v>1.8049694037532609</c:v>
                </c:pt>
                <c:pt idx="8">
                  <c:v>1.6235938034703519</c:v>
                </c:pt>
                <c:pt idx="9">
                  <c:v>1.3461737324647105</c:v>
                </c:pt>
                <c:pt idx="10">
                  <c:v>1.3494685974592364</c:v>
                </c:pt>
                <c:pt idx="11">
                  <c:v>1.4842602510401253</c:v>
                </c:pt>
                <c:pt idx="12">
                  <c:v>1.6452177422664254</c:v>
                </c:pt>
                <c:pt idx="13">
                  <c:v>2.0319041054608924</c:v>
                </c:pt>
                <c:pt idx="14">
                  <c:v>1.7163757573608251</c:v>
                </c:pt>
                <c:pt idx="15">
                  <c:v>1.4989208096950561</c:v>
                </c:pt>
                <c:pt idx="16">
                  <c:v>1.4088513441031894</c:v>
                </c:pt>
                <c:pt idx="17">
                  <c:v>1.6030982414638215</c:v>
                </c:pt>
                <c:pt idx="18">
                  <c:v>1.9265846902648858</c:v>
                </c:pt>
                <c:pt idx="19">
                  <c:v>2.0676332620157214</c:v>
                </c:pt>
                <c:pt idx="20">
                  <c:v>2.2889875072952268</c:v>
                </c:pt>
                <c:pt idx="21">
                  <c:v>2.2296553135467336</c:v>
                </c:pt>
                <c:pt idx="22">
                  <c:v>3.1054468522117515</c:v>
                </c:pt>
                <c:pt idx="23">
                  <c:v>3.8744004681434681</c:v>
                </c:pt>
                <c:pt idx="24">
                  <c:v>3.9864836214829893</c:v>
                </c:pt>
                <c:pt idx="25">
                  <c:v>3.5504255044149091</c:v>
                </c:pt>
                <c:pt idx="26">
                  <c:v>4.5935846655283505</c:v>
                </c:pt>
                <c:pt idx="27">
                  <c:v>4.935949426855907</c:v>
                </c:pt>
                <c:pt idx="28">
                  <c:v>4.9396643664509403</c:v>
                </c:pt>
                <c:pt idx="29">
                  <c:v>5.9065959005645556</c:v>
                </c:pt>
                <c:pt idx="30">
                  <c:v>5.4663579658127786</c:v>
                </c:pt>
                <c:pt idx="31">
                  <c:v>6.3446746461714811</c:v>
                </c:pt>
                <c:pt idx="32">
                  <c:v>7.0885742436178187</c:v>
                </c:pt>
                <c:pt idx="33">
                  <c:v>7.6357651249755891</c:v>
                </c:pt>
                <c:pt idx="34">
                  <c:v>6.8317629260054815</c:v>
                </c:pt>
                <c:pt idx="35">
                  <c:v>7.815556369174355</c:v>
                </c:pt>
                <c:pt idx="36">
                  <c:v>8.1437722041722846</c:v>
                </c:pt>
                <c:pt idx="37">
                  <c:v>7.0780831231831316</c:v>
                </c:pt>
                <c:pt idx="38">
                  <c:v>7.0500708196460158</c:v>
                </c:pt>
                <c:pt idx="39">
                  <c:v>7.5971729930491598</c:v>
                </c:pt>
                <c:pt idx="40">
                  <c:v>8.4565024669659188</c:v>
                </c:pt>
              </c:numCache>
            </c:numRef>
          </c:val>
          <c:smooth val="0"/>
        </c:ser>
        <c:ser>
          <c:idx val="6"/>
          <c:order val="6"/>
          <c:spPr>
            <a:ln w="127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Survivability'!$F$24:$BD$24</c15:sqref>
                  </c15:fullRef>
                </c:ext>
              </c:extLst>
              <c:f>'Portfolio Survivability'!$F$24:$AT$24</c:f>
              <c:numCache>
                <c:formatCode>"$"#,##0.00</c:formatCode>
                <c:ptCount val="41"/>
                <c:pt idx="0">
                  <c:v>1</c:v>
                </c:pt>
                <c:pt idx="1">
                  <c:v>0.93794889887999988</c:v>
                </c:pt>
                <c:pt idx="2">
                  <c:v>1.2168537735344822</c:v>
                </c:pt>
                <c:pt idx="3">
                  <c:v>1.4692822135897847</c:v>
                </c:pt>
                <c:pt idx="4">
                  <c:v>0.99334072533855389</c:v>
                </c:pt>
                <c:pt idx="5">
                  <c:v>1.2118403923979406</c:v>
                </c:pt>
                <c:pt idx="6">
                  <c:v>1.1900951593186695</c:v>
                </c:pt>
                <c:pt idx="7">
                  <c:v>1.0585477872461904</c:v>
                </c:pt>
                <c:pt idx="8">
                  <c:v>0.86638750962861255</c:v>
                </c:pt>
                <c:pt idx="9">
                  <c:v>0.85446137740532591</c:v>
                </c:pt>
                <c:pt idx="10">
                  <c:v>0.92394824316659574</c:v>
                </c:pt>
                <c:pt idx="11">
                  <c:v>1.0077372113581207</c:v>
                </c:pt>
                <c:pt idx="12">
                  <c:v>1.2258773430698473</c:v>
                </c:pt>
                <c:pt idx="13">
                  <c:v>1.0224689780335048</c:v>
                </c:pt>
                <c:pt idx="14">
                  <c:v>0.87913393280802388</c:v>
                </c:pt>
                <c:pt idx="15">
                  <c:v>0.81107278932097748</c:v>
                </c:pt>
                <c:pt idx="16">
                  <c:v>0.90394323455492853</c:v>
                </c:pt>
                <c:pt idx="17">
                  <c:v>1.0658377760292781</c:v>
                </c:pt>
                <c:pt idx="18">
                  <c:v>1.12518283905593</c:v>
                </c:pt>
                <c:pt idx="19">
                  <c:v>1.2260024440380179</c:v>
                </c:pt>
                <c:pt idx="20">
                  <c:v>1.1766504044514339</c:v>
                </c:pt>
                <c:pt idx="21">
                  <c:v>1.6132645749372279</c:v>
                </c:pt>
                <c:pt idx="22">
                  <c:v>1.9895467239921054</c:v>
                </c:pt>
                <c:pt idx="23">
                  <c:v>2.0277907319044961</c:v>
                </c:pt>
                <c:pt idx="24">
                  <c:v>1.7891049263700121</c:v>
                </c:pt>
                <c:pt idx="25">
                  <c:v>2.2899810990100935</c:v>
                </c:pt>
                <c:pt idx="26">
                  <c:v>2.4398988101205092</c:v>
                </c:pt>
                <c:pt idx="27">
                  <c:v>2.4222525485375206</c:v>
                </c:pt>
                <c:pt idx="28">
                  <c:v>2.8729444829399937</c:v>
                </c:pt>
                <c:pt idx="29">
                  <c:v>2.6405389731582578</c:v>
                </c:pt>
                <c:pt idx="30">
                  <c:v>3.0417305848004874</c:v>
                </c:pt>
                <c:pt idx="31">
                  <c:v>3.3760144514749197</c:v>
                </c:pt>
                <c:pt idx="32">
                  <c:v>3.6149523843054143</c:v>
                </c:pt>
                <c:pt idx="33">
                  <c:v>3.2162309809325857</c:v>
                </c:pt>
                <c:pt idx="34">
                  <c:v>3.6561198512465287</c:v>
                </c:pt>
                <c:pt idx="35">
                  <c:v>3.7883714880654833</c:v>
                </c:pt>
                <c:pt idx="36">
                  <c:v>3.2747873746723917</c:v>
                </c:pt>
                <c:pt idx="37">
                  <c:v>3.2412711697257754</c:v>
                </c:pt>
                <c:pt idx="38">
                  <c:v>3.4704412575991417</c:v>
                </c:pt>
                <c:pt idx="39">
                  <c:v>3.8397751505130406</c:v>
                </c:pt>
                <c:pt idx="40">
                  <c:v>3.1837580592262515</c:v>
                </c:pt>
              </c:numCache>
            </c:numRef>
          </c:val>
          <c:smooth val="0"/>
        </c:ser>
        <c:ser>
          <c:idx val="7"/>
          <c:order val="7"/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Survivability'!$F$25:$BD$25</c15:sqref>
                  </c15:fullRef>
                </c:ext>
              </c:extLst>
              <c:f>'Portfolio Survivability'!$F$25:$AT$25</c:f>
              <c:numCache>
                <c:formatCode>"$"#,##0.00</c:formatCode>
                <c:ptCount val="41"/>
                <c:pt idx="0">
                  <c:v>1</c:v>
                </c:pt>
                <c:pt idx="1">
                  <c:v>1.300773983544</c:v>
                </c:pt>
                <c:pt idx="2">
                  <c:v>1.5738951836547355</c:v>
                </c:pt>
                <c:pt idx="3">
                  <c:v>1.0659545294773605</c:v>
                </c:pt>
                <c:pt idx="4">
                  <c:v>1.3039695819159436</c:v>
                </c:pt>
                <c:pt idx="5">
                  <c:v>1.2835160258698883</c:v>
                </c:pt>
                <c:pt idx="6">
                  <c:v>1.1443980061401622</c:v>
                </c:pt>
                <c:pt idx="7">
                  <c:v>0.93928378899367293</c:v>
                </c:pt>
                <c:pt idx="8">
                  <c:v>0.92967025770095413</c:v>
                </c:pt>
                <c:pt idx="9">
                  <c:v>1.0090792009004526</c:v>
                </c:pt>
                <c:pt idx="10">
                  <c:v>1.1045927621411065</c:v>
                </c:pt>
                <c:pt idx="11">
                  <c:v>1.3483409513403262</c:v>
                </c:pt>
                <c:pt idx="12">
                  <c:v>1.1278976461185271</c:v>
                </c:pt>
                <c:pt idx="13">
                  <c:v>0.97330119975722407</c:v>
                </c:pt>
                <c:pt idx="14">
                  <c:v>0.90189622370444478</c:v>
                </c:pt>
                <c:pt idx="15">
                  <c:v>1.0101692916556173</c:v>
                </c:pt>
                <c:pt idx="16">
                  <c:v>1.1966152859624195</c:v>
                </c:pt>
                <c:pt idx="17">
                  <c:v>1.2683739647070416</c:v>
                </c:pt>
                <c:pt idx="18">
                  <c:v>1.3875069901128108</c:v>
                </c:pt>
                <c:pt idx="19">
                  <c:v>1.3366386166440396</c:v>
                </c:pt>
                <c:pt idx="20">
                  <c:v>1.8399791635821665</c:v>
                </c:pt>
                <c:pt idx="21">
                  <c:v>2.2759218188911396</c:v>
                </c:pt>
                <c:pt idx="22">
                  <c:v>2.3253845711462002</c:v>
                </c:pt>
                <c:pt idx="23">
                  <c:v>2.0567110200790655</c:v>
                </c:pt>
                <c:pt idx="24">
                  <c:v>2.6399789129086151</c:v>
                </c:pt>
                <c:pt idx="25">
                  <c:v>2.8191360503883098</c:v>
                </c:pt>
                <c:pt idx="26">
                  <c:v>2.8047353011075331</c:v>
                </c:pt>
                <c:pt idx="27">
                  <c:v>3.3338620556209322</c:v>
                </c:pt>
                <c:pt idx="28">
                  <c:v>3.0698795438523976</c:v>
                </c:pt>
                <c:pt idx="29">
                  <c:v>3.5435631126326101</c:v>
                </c:pt>
                <c:pt idx="30">
                  <c:v>3.9400819108692025</c:v>
                </c:pt>
                <c:pt idx="31">
                  <c:v>4.2258542294770143</c:v>
                </c:pt>
                <c:pt idx="32">
                  <c:v>3.7655565225527492</c:v>
                </c:pt>
                <c:pt idx="33">
                  <c:v>4.2880834883426244</c:v>
                </c:pt>
                <c:pt idx="34">
                  <c:v>4.4501089291102689</c:v>
                </c:pt>
                <c:pt idx="35">
                  <c:v>3.8526407939567848</c:v>
                </c:pt>
                <c:pt idx="36">
                  <c:v>3.8199608238073517</c:v>
                </c:pt>
                <c:pt idx="37">
                  <c:v>4.0974358963234554</c:v>
                </c:pt>
                <c:pt idx="38">
                  <c:v>4.5412172265757782</c:v>
                </c:pt>
                <c:pt idx="39">
                  <c:v>3.7712045187402108</c:v>
                </c:pt>
                <c:pt idx="40">
                  <c:v>2.6472011729932245</c:v>
                </c:pt>
              </c:numCache>
            </c:numRef>
          </c:val>
          <c:smooth val="0"/>
        </c:ser>
        <c:ser>
          <c:idx val="8"/>
          <c:order val="8"/>
          <c:spPr>
            <a:ln w="127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Survivability'!$F$26:$BD$26</c15:sqref>
                  </c15:fullRef>
                </c:ext>
              </c:extLst>
              <c:f>'Portfolio Survivability'!$F$26:$AT$26</c:f>
              <c:numCache>
                <c:formatCode>"$"#,##0.00</c:formatCode>
                <c:ptCount val="41"/>
                <c:pt idx="0">
                  <c:v>1</c:v>
                </c:pt>
                <c:pt idx="1">
                  <c:v>1.1989573738799999</c:v>
                </c:pt>
                <c:pt idx="2">
                  <c:v>0.80570323686696721</c:v>
                </c:pt>
                <c:pt idx="3">
                  <c:v>0.97377422934393265</c:v>
                </c:pt>
                <c:pt idx="4">
                  <c:v>0.94869124200011878</c:v>
                </c:pt>
                <c:pt idx="5">
                  <c:v>0.83670677989161379</c:v>
                </c:pt>
                <c:pt idx="6">
                  <c:v>0.6780200918737681</c:v>
                </c:pt>
                <c:pt idx="7">
                  <c:v>0.66011808997122112</c:v>
                </c:pt>
                <c:pt idx="8">
                  <c:v>0.70396584051176891</c:v>
                </c:pt>
                <c:pt idx="9">
                  <c:v>0.75745790828357984</c:v>
                </c:pt>
                <c:pt idx="10">
                  <c:v>0.90942561384883935</c:v>
                </c:pt>
                <c:pt idx="11">
                  <c:v>0.75003633623770127</c:v>
                </c:pt>
                <c:pt idx="12">
                  <c:v>0.63580128172139028</c:v>
                </c:pt>
                <c:pt idx="13">
                  <c:v>0.57638075900810459</c:v>
                </c:pt>
                <c:pt idx="14">
                  <c:v>0.62945010200245688</c:v>
                </c:pt>
                <c:pt idx="15">
                  <c:v>0.72790253350273193</c:v>
                </c:pt>
                <c:pt idx="16">
                  <c:v>0.75517022909496634</c:v>
                </c:pt>
                <c:pt idx="17">
                  <c:v>0.80866709352685329</c:v>
                </c:pt>
                <c:pt idx="18">
                  <c:v>0.76323333207914834</c:v>
                </c:pt>
                <c:pt idx="19">
                  <c:v>1.0274234044087314</c:v>
                </c:pt>
                <c:pt idx="20">
                  <c:v>1.2495399965529321</c:v>
                </c:pt>
                <c:pt idx="21">
                  <c:v>1.2587942409178932</c:v>
                </c:pt>
                <c:pt idx="22">
                  <c:v>1.0975981816293932</c:v>
                </c:pt>
                <c:pt idx="23">
                  <c:v>1.3855702703895953</c:v>
                </c:pt>
                <c:pt idx="24">
                  <c:v>1.4599319272022127</c:v>
                </c:pt>
                <c:pt idx="25">
                  <c:v>1.4338991090352091</c:v>
                </c:pt>
                <c:pt idx="26">
                  <c:v>1.6819117756471977</c:v>
                </c:pt>
                <c:pt idx="27">
                  <c:v>1.5311027256093841</c:v>
                </c:pt>
                <c:pt idx="28">
                  <c:v>1.7449717071665733</c:v>
                </c:pt>
                <c:pt idx="29">
                  <c:v>1.9184375807332164</c:v>
                </c:pt>
                <c:pt idx="30">
                  <c:v>2.0363532558044763</c:v>
                </c:pt>
                <c:pt idx="31">
                  <c:v>1.7967479197522549</c:v>
                </c:pt>
                <c:pt idx="32">
                  <c:v>2.0230960608470205</c:v>
                </c:pt>
                <c:pt idx="33">
                  <c:v>2.078410786545076</c:v>
                </c:pt>
                <c:pt idx="34">
                  <c:v>1.7815869345470268</c:v>
                </c:pt>
                <c:pt idx="35">
                  <c:v>1.7459098595154869</c:v>
                </c:pt>
                <c:pt idx="36">
                  <c:v>1.8502575929272174</c:v>
                </c:pt>
                <c:pt idx="37">
                  <c:v>2.027215802856313</c:v>
                </c:pt>
                <c:pt idx="38">
                  <c:v>1.6657687515180521</c:v>
                </c:pt>
                <c:pt idx="39">
                  <c:v>1.1541646645527526</c:v>
                </c:pt>
                <c:pt idx="40">
                  <c:v>1.3220018503558404</c:v>
                </c:pt>
              </c:numCache>
            </c:numRef>
          </c:val>
          <c:smooth val="0"/>
        </c:ser>
        <c:ser>
          <c:idx val="9"/>
          <c:order val="9"/>
          <c:spPr>
            <a:ln w="127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Survivability'!$F$27:$BD$27</c15:sqref>
                  </c15:fullRef>
                </c:ext>
              </c:extLst>
              <c:f>'Portfolio Survivability'!$F$27:$AT$27</c:f>
              <c:numCache>
                <c:formatCode>"$"#,##0.00</c:formatCode>
                <c:ptCount val="41"/>
                <c:pt idx="0">
                  <c:v>1</c:v>
                </c:pt>
                <c:pt idx="1">
                  <c:v>0.6676032310079999</c:v>
                </c:pt>
                <c:pt idx="2">
                  <c:v>0.79855903764433345</c:v>
                </c:pt>
                <c:pt idx="3">
                  <c:v>0.77101948425263767</c:v>
                </c:pt>
                <c:pt idx="4">
                  <c:v>0.67343320026221365</c:v>
                </c:pt>
                <c:pt idx="5">
                  <c:v>0.53938286267464819</c:v>
                </c:pt>
                <c:pt idx="6">
                  <c:v>0.51708265844888457</c:v>
                </c:pt>
                <c:pt idx="7">
                  <c:v>0.54206018219711105</c:v>
                </c:pt>
                <c:pt idx="8">
                  <c:v>0.57325392270206244</c:v>
                </c:pt>
                <c:pt idx="9">
                  <c:v>0.67651914075820685</c:v>
                </c:pt>
                <c:pt idx="10">
                  <c:v>0.54952763334131027</c:v>
                </c:pt>
                <c:pt idx="11">
                  <c:v>0.45670998810801017</c:v>
                </c:pt>
                <c:pt idx="12">
                  <c:v>0.40364890768528872</c:v>
                </c:pt>
                <c:pt idx="13">
                  <c:v>0.42742489092912234</c:v>
                </c:pt>
                <c:pt idx="14">
                  <c:v>0.4791843303706616</c:v>
                </c:pt>
                <c:pt idx="15">
                  <c:v>0.48284328622374667</c:v>
                </c:pt>
                <c:pt idx="16">
                  <c:v>0.50151091263673553</c:v>
                </c:pt>
                <c:pt idx="17">
                  <c:v>0.45896097914017175</c:v>
                </c:pt>
                <c:pt idx="18">
                  <c:v>0.59624800475153095</c:v>
                </c:pt>
                <c:pt idx="19">
                  <c:v>0.70489972116094823</c:v>
                </c:pt>
                <c:pt idx="20">
                  <c:v>0.69281768273742828</c:v>
                </c:pt>
                <c:pt idx="21">
                  <c:v>0.58865358703865989</c:v>
                </c:pt>
                <c:pt idx="22">
                  <c:v>0.7199296153756185</c:v>
                </c:pt>
                <c:pt idx="23">
                  <c:v>0.73868249365362837</c:v>
                </c:pt>
                <c:pt idx="24">
                  <c:v>0.70647722283431624</c:v>
                </c:pt>
                <c:pt idx="25">
                  <c:v>0.8053192290556147</c:v>
                </c:pt>
                <c:pt idx="26">
                  <c:v>0.71456465779224354</c:v>
                </c:pt>
                <c:pt idx="27">
                  <c:v>0.79056536727341598</c:v>
                </c:pt>
                <c:pt idx="28">
                  <c:v>0.8456702141000535</c:v>
                </c:pt>
                <c:pt idx="29">
                  <c:v>0.87451427218392963</c:v>
                </c:pt>
                <c:pt idx="30">
                  <c:v>0.75201735624658894</c:v>
                </c:pt>
                <c:pt idx="31">
                  <c:v>0.82120086997126407</c:v>
                </c:pt>
                <c:pt idx="32">
                  <c:v>0.81989051523835932</c:v>
                </c:pt>
                <c:pt idx="33">
                  <c:v>0.6826008459480446</c:v>
                </c:pt>
                <c:pt idx="34">
                  <c:v>0.64533338418824993</c:v>
                </c:pt>
                <c:pt idx="35">
                  <c:v>0.65781265345193096</c:v>
                </c:pt>
                <c:pt idx="36">
                  <c:v>0.69318357630034677</c:v>
                </c:pt>
                <c:pt idx="37">
                  <c:v>0.54853821301563344</c:v>
                </c:pt>
                <c:pt idx="38">
                  <c:v>0.36189828041627076</c:v>
                </c:pt>
                <c:pt idx="39">
                  <c:v>0.38346171636071996</c:v>
                </c:pt>
                <c:pt idx="40">
                  <c:v>0.39763418990610444</c:v>
                </c:pt>
              </c:numCache>
            </c:numRef>
          </c:val>
          <c:smooth val="0"/>
        </c:ser>
        <c:ser>
          <c:idx val="10"/>
          <c:order val="10"/>
          <c:spPr>
            <a:ln w="1270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Survivability'!$F$28:$BD$28</c15:sqref>
                  </c15:fullRef>
                </c:ext>
              </c:extLst>
              <c:f>'Portfolio Survivability'!$F$28:$AT$28</c:f>
              <c:numCache>
                <c:formatCode>"$"#,##0.00</c:formatCode>
                <c:ptCount val="41"/>
                <c:pt idx="0">
                  <c:v>1</c:v>
                </c:pt>
                <c:pt idx="1">
                  <c:v>1.2202893861479998</c:v>
                </c:pt>
                <c:pt idx="2">
                  <c:v>1.1986626103268228</c:v>
                </c:pt>
                <c:pt idx="3">
                  <c:v>1.0664209484741489</c:v>
                </c:pt>
                <c:pt idx="4">
                  <c:v>0.8730726895588844</c:v>
                </c:pt>
                <c:pt idx="5">
                  <c:v>0.86135864159370268</c:v>
                </c:pt>
                <c:pt idx="6">
                  <c:v>0.93175544231371654</c:v>
                </c:pt>
                <c:pt idx="7">
                  <c:v>1.0166196507620191</c:v>
                </c:pt>
                <c:pt idx="8">
                  <c:v>1.2371082489998806</c:v>
                </c:pt>
                <c:pt idx="9">
                  <c:v>1.0321376418130044</c:v>
                </c:pt>
                <c:pt idx="10">
                  <c:v>0.88776983478519722</c:v>
                </c:pt>
                <c:pt idx="11">
                  <c:v>0.81940203473689233</c:v>
                </c:pt>
                <c:pt idx="12">
                  <c:v>0.91368502537315466</c:v>
                </c:pt>
                <c:pt idx="13">
                  <c:v>1.0778311341588143</c:v>
                </c:pt>
                <c:pt idx="14">
                  <c:v>1.1383146264082291</c:v>
                </c:pt>
                <c:pt idx="15">
                  <c:v>1.2408137205458318</c:v>
                </c:pt>
                <c:pt idx="16">
                  <c:v>1.1913226208463712</c:v>
                </c:pt>
                <c:pt idx="17">
                  <c:v>1.6340561411338872</c:v>
                </c:pt>
                <c:pt idx="18">
                  <c:v>2.0158096423964995</c:v>
                </c:pt>
                <c:pt idx="19">
                  <c:v>2.0550825001373823</c:v>
                </c:pt>
                <c:pt idx="20">
                  <c:v>1.8136465751683384</c:v>
                </c:pt>
                <c:pt idx="21">
                  <c:v>2.3220787366603708</c:v>
                </c:pt>
                <c:pt idx="22">
                  <c:v>2.4746779402699803</c:v>
                </c:pt>
                <c:pt idx="23">
                  <c:v>2.4573293184828113</c:v>
                </c:pt>
                <c:pt idx="24">
                  <c:v>2.915214361913717</c:v>
                </c:pt>
                <c:pt idx="25">
                  <c:v>2.6799129849933703</c:v>
                </c:pt>
                <c:pt idx="26">
                  <c:v>3.0877526969390181</c:v>
                </c:pt>
                <c:pt idx="27">
                  <c:v>3.4277440114978281</c:v>
                </c:pt>
                <c:pt idx="28">
                  <c:v>3.670977037281931</c:v>
                </c:pt>
                <c:pt idx="29">
                  <c:v>3.2666085875540913</c:v>
                </c:pt>
                <c:pt idx="30">
                  <c:v>3.7140760413316003</c:v>
                </c:pt>
                <c:pt idx="31">
                  <c:v>3.8490581774070227</c:v>
                </c:pt>
                <c:pt idx="32">
                  <c:v>3.3277812190069236</c:v>
                </c:pt>
                <c:pt idx="33">
                  <c:v>3.2943417035721971</c:v>
                </c:pt>
                <c:pt idx="34">
                  <c:v>3.5279417502401467</c:v>
                </c:pt>
                <c:pt idx="35">
                  <c:v>3.9041030768487412</c:v>
                </c:pt>
                <c:pt idx="36">
                  <c:v>3.2376316631393447</c:v>
                </c:pt>
                <c:pt idx="37">
                  <c:v>2.2688264128949887</c:v>
                </c:pt>
                <c:pt idx="38">
                  <c:v>2.6424602310160239</c:v>
                </c:pt>
                <c:pt idx="39">
                  <c:v>2.9992983820506596</c:v>
                </c:pt>
                <c:pt idx="40">
                  <c:v>2.6211699138781706</c:v>
                </c:pt>
              </c:numCache>
            </c:numRef>
          </c:val>
          <c:smooth val="0"/>
        </c:ser>
        <c:ser>
          <c:idx val="11"/>
          <c:order val="11"/>
          <c:spPr>
            <a:ln w="1270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Survivability'!$F$29:$BD$29</c15:sqref>
                  </c15:fullRef>
                </c:ext>
              </c:extLst>
              <c:f>'Portfolio Survivability'!$F$29:$AT$29</c:f>
              <c:numCache>
                <c:formatCode>"$"#,##0.00</c:formatCode>
                <c:ptCount val="41"/>
                <c:pt idx="0">
                  <c:v>1</c:v>
                </c:pt>
                <c:pt idx="1">
                  <c:v>0.97528470530400002</c:v>
                </c:pt>
                <c:pt idx="2">
                  <c:v>0.86114515998879804</c:v>
                </c:pt>
                <c:pt idx="3">
                  <c:v>0.6987709647980882</c:v>
                </c:pt>
                <c:pt idx="4">
                  <c:v>0.68152727479366382</c:v>
                </c:pt>
                <c:pt idx="5">
                  <c:v>0.72819947357573112</c:v>
                </c:pt>
                <c:pt idx="6">
                  <c:v>0.7850290990743698</c:v>
                </c:pt>
                <c:pt idx="7">
                  <c:v>0.94428647088035045</c:v>
                </c:pt>
                <c:pt idx="8">
                  <c:v>0.78004797624276367</c:v>
                </c:pt>
                <c:pt idx="9">
                  <c:v>0.66260721759512131</c:v>
                </c:pt>
                <c:pt idx="10">
                  <c:v>0.60223482950192742</c:v>
                </c:pt>
                <c:pt idx="11">
                  <c:v>0.65968872914979115</c:v>
                </c:pt>
                <c:pt idx="12">
                  <c:v>0.76513005064927042</c:v>
                </c:pt>
                <c:pt idx="13">
                  <c:v>0.79593144322218223</c:v>
                </c:pt>
                <c:pt idx="14">
                  <c:v>0.85464146068919655</c:v>
                </c:pt>
                <c:pt idx="15">
                  <c:v>0.80877605510307782</c:v>
                </c:pt>
                <c:pt idx="16">
                  <c:v>1.0919606573390304</c:v>
                </c:pt>
                <c:pt idx="17">
                  <c:v>1.3310603876442264</c:v>
                </c:pt>
                <c:pt idx="18">
                  <c:v>1.3435081933301891</c:v>
                </c:pt>
                <c:pt idx="19">
                  <c:v>1.1737757327019362</c:v>
                </c:pt>
                <c:pt idx="20">
                  <c:v>1.4852016949733737</c:v>
                </c:pt>
                <c:pt idx="21">
                  <c:v>1.5678867343543987</c:v>
                </c:pt>
                <c:pt idx="22">
                  <c:v>1.5427777934270039</c:v>
                </c:pt>
                <c:pt idx="23">
                  <c:v>1.8131179505383752</c:v>
                </c:pt>
                <c:pt idx="24">
                  <c:v>1.6533200966649415</c:v>
                </c:pt>
                <c:pt idx="25">
                  <c:v>1.8878248555719219</c:v>
                </c:pt>
                <c:pt idx="26">
                  <c:v>2.0790067109081249</c:v>
                </c:pt>
                <c:pt idx="27">
                  <c:v>2.2102544023212163</c:v>
                </c:pt>
                <c:pt idx="28">
                  <c:v>1.9531205715189914</c:v>
                </c:pt>
                <c:pt idx="29">
                  <c:v>2.2029927200509709</c:v>
                </c:pt>
                <c:pt idx="30">
                  <c:v>2.2667829458375679</c:v>
                </c:pt>
                <c:pt idx="31">
                  <c:v>1.9460804172994766</c:v>
                </c:pt>
                <c:pt idx="32">
                  <c:v>1.9106413873665675</c:v>
                </c:pt>
                <c:pt idx="33">
                  <c:v>2.0287397621918721</c:v>
                </c:pt>
                <c:pt idx="34">
                  <c:v>2.226890402313658</c:v>
                </c:pt>
                <c:pt idx="35">
                  <c:v>1.8329930177960194</c:v>
                </c:pt>
                <c:pt idx="36">
                  <c:v>1.2727491108403659</c:v>
                </c:pt>
                <c:pt idx="37">
                  <c:v>1.4624801848365083</c:v>
                </c:pt>
                <c:pt idx="38">
                  <c:v>1.6403281066502102</c:v>
                </c:pt>
                <c:pt idx="39">
                  <c:v>1.4182068440501685</c:v>
                </c:pt>
                <c:pt idx="40">
                  <c:v>1.3395457057859028</c:v>
                </c:pt>
              </c:numCache>
            </c:numRef>
          </c:val>
          <c:smooth val="0"/>
        </c:ser>
        <c:ser>
          <c:idx val="12"/>
          <c:order val="12"/>
          <c:spPr>
            <a:ln w="1270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Survivability'!$F$30:$BD$30</c15:sqref>
                  </c15:fullRef>
                </c:ext>
              </c:extLst>
              <c:f>'Portfolio Survivability'!$F$30:$AT$30</c:f>
              <c:numCache>
                <c:formatCode>"$"#,##0.00</c:formatCode>
                <c:ptCount val="41"/>
                <c:pt idx="0">
                  <c:v>1</c:v>
                </c:pt>
                <c:pt idx="1">
                  <c:v>0.8838575746559999</c:v>
                </c:pt>
                <c:pt idx="2">
                  <c:v>0.71805630321615599</c:v>
                </c:pt>
                <c:pt idx="3">
                  <c:v>0.70142443170178914</c:v>
                </c:pt>
                <c:pt idx="4">
                  <c:v>0.75072160150944522</c:v>
                </c:pt>
                <c:pt idx="5">
                  <c:v>0.81065306906005241</c:v>
                </c:pt>
                <c:pt idx="6">
                  <c:v>0.97668527298609809</c:v>
                </c:pt>
                <c:pt idx="7">
                  <c:v>0.80794003823406957</c:v>
                </c:pt>
                <c:pt idx="8">
                  <c:v>0.68751997894368377</c:v>
                </c:pt>
                <c:pt idx="9">
                  <c:v>0.62626295115138297</c:v>
                </c:pt>
                <c:pt idx="10">
                  <c:v>0.68779174727153236</c:v>
                </c:pt>
                <c:pt idx="11">
                  <c:v>0.79972836703113137</c:v>
                </c:pt>
                <c:pt idx="12">
                  <c:v>0.83381388853624838</c:v>
                </c:pt>
                <c:pt idx="13">
                  <c:v>0.89736887907375862</c:v>
                </c:pt>
                <c:pt idx="14">
                  <c:v>0.85110231430191097</c:v>
                </c:pt>
                <c:pt idx="15">
                  <c:v>1.151939954011151</c:v>
                </c:pt>
                <c:pt idx="16">
                  <c:v>1.4068233849842713</c:v>
                </c:pt>
                <c:pt idx="17">
                  <c:v>1.4222392060910301</c:v>
                </c:pt>
                <c:pt idx="18">
                  <c:v>1.2445732291567408</c:v>
                </c:pt>
                <c:pt idx="19">
                  <c:v>1.5777966304818682</c:v>
                </c:pt>
                <c:pt idx="20">
                  <c:v>1.6682172118904606</c:v>
                </c:pt>
                <c:pt idx="21">
                  <c:v>1.6439668991898193</c:v>
                </c:pt>
                <c:pt idx="22">
                  <c:v>1.9350576633661174</c:v>
                </c:pt>
                <c:pt idx="23">
                  <c:v>1.7669058417065679</c:v>
                </c:pt>
                <c:pt idx="24">
                  <c:v>2.0205889721048127</c:v>
                </c:pt>
                <c:pt idx="25">
                  <c:v>2.2282356144926418</c:v>
                </c:pt>
                <c:pt idx="26">
                  <c:v>2.3718737459554191</c:v>
                </c:pt>
                <c:pt idx="27">
                  <c:v>2.0984493738132706</c:v>
                </c:pt>
                <c:pt idx="28">
                  <c:v>2.3701841421025196</c:v>
                </c:pt>
                <c:pt idx="29">
                  <c:v>2.4418512841068587</c:v>
                </c:pt>
                <c:pt idx="30">
                  <c:v>2.098956515284236</c:v>
                </c:pt>
                <c:pt idx="31">
                  <c:v>2.0637387184677647</c:v>
                </c:pt>
                <c:pt idx="32">
                  <c:v>2.1946165929359731</c:v>
                </c:pt>
                <c:pt idx="33">
                  <c:v>2.4124629436747482</c:v>
                </c:pt>
                <c:pt idx="34">
                  <c:v>1.9884070371794673</c:v>
                </c:pt>
                <c:pt idx="35">
                  <c:v>1.3829585071446318</c:v>
                </c:pt>
                <c:pt idx="36">
                  <c:v>1.5930372091480538</c:v>
                </c:pt>
                <c:pt idx="37">
                  <c:v>1.7906892215339547</c:v>
                </c:pt>
                <c:pt idx="38">
                  <c:v>1.5513067886313778</c:v>
                </c:pt>
                <c:pt idx="39">
                  <c:v>1.4687432238799645</c:v>
                </c:pt>
                <c:pt idx="40">
                  <c:v>1.4585911695989671</c:v>
                </c:pt>
              </c:numCache>
            </c:numRef>
          </c:val>
          <c:smooth val="0"/>
        </c:ser>
        <c:ser>
          <c:idx val="13"/>
          <c:order val="13"/>
          <c:spPr>
            <a:ln w="1270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Survivability'!$F$31:$BD$31</c15:sqref>
                  </c15:fullRef>
                </c:ext>
              </c:extLst>
              <c:f>'Portfolio Survivability'!$F$31:$AT$31</c:f>
              <c:numCache>
                <c:formatCode>"$"#,##0.00</c:formatCode>
                <c:ptCount val="41"/>
                <c:pt idx="0">
                  <c:v>1</c:v>
                </c:pt>
                <c:pt idx="1">
                  <c:v>0.81667399799999996</c:v>
                </c:pt>
                <c:pt idx="2">
                  <c:v>0.80317072748851082</c:v>
                </c:pt>
                <c:pt idx="3">
                  <c:v>0.86589097475564403</c:v>
                </c:pt>
                <c:pt idx="4">
                  <c:v>0.94168405210108519</c:v>
                </c:pt>
                <c:pt idx="5">
                  <c:v>1.1423601036871962</c:v>
                </c:pt>
                <c:pt idx="6">
                  <c:v>0.95056915869449354</c:v>
                </c:pt>
                <c:pt idx="7">
                  <c:v>0.81491411855564411</c:v>
                </c:pt>
                <c:pt idx="8">
                  <c:v>0.74913338856279255</c:v>
                </c:pt>
                <c:pt idx="9">
                  <c:v>0.83149961505974812</c:v>
                </c:pt>
                <c:pt idx="10">
                  <c:v>0.97665065540459417</c:v>
                </c:pt>
                <c:pt idx="11">
                  <c:v>1.0275299306746732</c:v>
                </c:pt>
                <c:pt idx="12">
                  <c:v>1.1158602227985146</c:v>
                </c:pt>
                <c:pt idx="13">
                  <c:v>1.0675422864987039</c:v>
                </c:pt>
                <c:pt idx="14">
                  <c:v>1.4586506709472444</c:v>
                </c:pt>
                <c:pt idx="15">
                  <c:v>1.7942457877246758</c:v>
                </c:pt>
                <c:pt idx="16">
                  <c:v>1.8248388814587901</c:v>
                </c:pt>
                <c:pt idx="17">
                  <c:v>1.6066039981008349</c:v>
                </c:pt>
                <c:pt idx="18">
                  <c:v>2.0512909965413919</c:v>
                </c:pt>
                <c:pt idx="19">
                  <c:v>2.1812681211707945</c:v>
                </c:pt>
                <c:pt idx="20">
                  <c:v>2.1614084981517743</c:v>
                </c:pt>
                <c:pt idx="21">
                  <c:v>2.5586097691673633</c:v>
                </c:pt>
                <c:pt idx="22">
                  <c:v>2.3477390162914769</c:v>
                </c:pt>
                <c:pt idx="23">
                  <c:v>2.6994928543525298</c:v>
                </c:pt>
                <c:pt idx="24">
                  <c:v>2.9913339925246296</c:v>
                </c:pt>
                <c:pt idx="25">
                  <c:v>3.1983319991717916</c:v>
                </c:pt>
                <c:pt idx="26">
                  <c:v>2.8416041558175915</c:v>
                </c:pt>
                <c:pt idx="27">
                  <c:v>3.2251358299043384</c:v>
                </c:pt>
                <c:pt idx="28">
                  <c:v>3.3370824475683545</c:v>
                </c:pt>
                <c:pt idx="29">
                  <c:v>2.8807052222025127</c:v>
                </c:pt>
                <c:pt idx="30">
                  <c:v>2.8466187252097712</c:v>
                </c:pt>
                <c:pt idx="31">
                  <c:v>3.0428459737959557</c:v>
                </c:pt>
                <c:pt idx="32">
                  <c:v>3.3614085026007277</c:v>
                </c:pt>
                <c:pt idx="33">
                  <c:v>2.7831336837353877</c:v>
                </c:pt>
                <c:pt idx="34">
                  <c:v>1.9465263518687472</c:v>
                </c:pt>
                <c:pt idx="35">
                  <c:v>2.2606548830686917</c:v>
                </c:pt>
                <c:pt idx="36">
                  <c:v>2.5595772863174751</c:v>
                </c:pt>
                <c:pt idx="37">
                  <c:v>2.2319279644650734</c:v>
                </c:pt>
                <c:pt idx="38">
                  <c:v>2.1294089135363805</c:v>
                </c:pt>
                <c:pt idx="39">
                  <c:v>2.1322102010996318</c:v>
                </c:pt>
                <c:pt idx="40">
                  <c:v>2.260417213161638</c:v>
                </c:pt>
              </c:numCache>
            </c:numRef>
          </c:val>
          <c:smooth val="0"/>
        </c:ser>
        <c:ser>
          <c:idx val="14"/>
          <c:order val="14"/>
          <c:spPr>
            <a:ln w="1270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Survivability'!$F$32:$BD$32</c15:sqref>
                  </c15:fullRef>
                </c:ext>
              </c:extLst>
              <c:f>'Portfolio Survivability'!$F$32:$AT$32</c:f>
              <c:numCache>
                <c:formatCode>"$"#,##0.00</c:formatCode>
                <c:ptCount val="41"/>
                <c:pt idx="0">
                  <c:v>1</c:v>
                </c:pt>
                <c:pt idx="1">
                  <c:v>0.99231266257200001</c:v>
                </c:pt>
                <c:pt idx="2">
                  <c:v>1.0799858265603766</c:v>
                </c:pt>
                <c:pt idx="3">
                  <c:v>1.1852649460947433</c:v>
                </c:pt>
                <c:pt idx="4">
                  <c:v>1.4503424025132998</c:v>
                </c:pt>
                <c:pt idx="5">
                  <c:v>1.2157104853103504</c:v>
                </c:pt>
                <c:pt idx="6">
                  <c:v>1.0517342789181507</c:v>
                </c:pt>
                <c:pt idx="7">
                  <c:v>0.97754418344090677</c:v>
                </c:pt>
                <c:pt idx="8">
                  <c:v>1.0986462860025608</c:v>
                </c:pt>
                <c:pt idx="9">
                  <c:v>1.3055414884674625</c:v>
                </c:pt>
                <c:pt idx="10">
                  <c:v>1.3876396209928354</c:v>
                </c:pt>
                <c:pt idx="11">
                  <c:v>1.5220261203533367</c:v>
                </c:pt>
                <c:pt idx="12">
                  <c:v>1.4698947736745633</c:v>
                </c:pt>
                <c:pt idx="13">
                  <c:v>2.0288125433139816</c:v>
                </c:pt>
                <c:pt idx="14">
                  <c:v>2.514447170806164</c:v>
                </c:pt>
                <c:pt idx="15">
                  <c:v>2.5732541537224956</c:v>
                </c:pt>
                <c:pt idx="16">
                  <c:v>2.2796034391948456</c:v>
                </c:pt>
                <c:pt idx="17">
                  <c:v>2.9314964129170122</c:v>
                </c:pt>
                <c:pt idx="18">
                  <c:v>3.1350074295878581</c:v>
                </c:pt>
                <c:pt idx="19">
                  <c:v>3.1233099075702713</c:v>
                </c:pt>
                <c:pt idx="20">
                  <c:v>3.7177659920519286</c:v>
                </c:pt>
                <c:pt idx="21">
                  <c:v>3.4274826055024432</c:v>
                </c:pt>
                <c:pt idx="22">
                  <c:v>3.9615456203145909</c:v>
                </c:pt>
                <c:pt idx="23">
                  <c:v>4.409900661355417</c:v>
                </c:pt>
                <c:pt idx="24">
                  <c:v>4.7346819180595991</c:v>
                </c:pt>
                <c:pt idx="25">
                  <c:v>4.2230965477321627</c:v>
                </c:pt>
                <c:pt idx="26">
                  <c:v>4.8144538034323174</c:v>
                </c:pt>
                <c:pt idx="27">
                  <c:v>5.0012782130740323</c:v>
                </c:pt>
                <c:pt idx="28">
                  <c:v>4.3339420406266642</c:v>
                </c:pt>
                <c:pt idx="29">
                  <c:v>4.3019585807633369</c:v>
                </c:pt>
                <c:pt idx="30">
                  <c:v>4.6196674713257382</c:v>
                </c:pt>
                <c:pt idx="31">
                  <c:v>5.1254569912098438</c:v>
                </c:pt>
                <c:pt idx="32">
                  <c:v>4.2604959270458256</c:v>
                </c:pt>
                <c:pt idx="33">
                  <c:v>2.9941744443889</c:v>
                </c:pt>
                <c:pt idx="34">
                  <c:v>3.5017270790136008</c:v>
                </c:pt>
                <c:pt idx="35">
                  <c:v>3.988906730807511</c:v>
                </c:pt>
                <c:pt idx="36">
                  <c:v>3.4971731044535979</c:v>
                </c:pt>
                <c:pt idx="37">
                  <c:v>3.3575576733381083</c:v>
                </c:pt>
                <c:pt idx="38">
                  <c:v>3.3844386595604123</c:v>
                </c:pt>
                <c:pt idx="39">
                  <c:v>3.6121578879822258</c:v>
                </c:pt>
                <c:pt idx="40">
                  <c:v>3.1378764127390313</c:v>
                </c:pt>
              </c:numCache>
            </c:numRef>
          </c:val>
          <c:smooth val="0"/>
        </c:ser>
        <c:ser>
          <c:idx val="15"/>
          <c:order val="15"/>
          <c:spPr>
            <a:ln w="1270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Survivability'!$F$33:$BD$33</c15:sqref>
                  </c15:fullRef>
                </c:ext>
              </c:extLst>
              <c:f>'Portfolio Survivability'!$F$33:$AT$33</c:f>
              <c:numCache>
                <c:formatCode>"$"#,##0.00</c:formatCode>
                <c:ptCount val="41"/>
                <c:pt idx="0">
                  <c:v>1</c:v>
                </c:pt>
                <c:pt idx="1">
                  <c:v>1.088687330892</c:v>
                </c:pt>
                <c:pt idx="2">
                  <c:v>1.1951648581492358</c:v>
                </c:pt>
                <c:pt idx="3">
                  <c:v>1.4628597950834996</c:v>
                </c:pt>
                <c:pt idx="4">
                  <c:v>1.226486682788207</c:v>
                </c:pt>
                <c:pt idx="5">
                  <c:v>1.0613594129829791</c:v>
                </c:pt>
                <c:pt idx="6">
                  <c:v>0.98682753380765986</c:v>
                </c:pt>
                <c:pt idx="7">
                  <c:v>1.1095039871326549</c:v>
                </c:pt>
                <c:pt idx="8">
                  <c:v>1.3189086712110152</c:v>
                </c:pt>
                <c:pt idx="9">
                  <c:v>1.4022756386445856</c:v>
                </c:pt>
                <c:pt idx="10">
                  <c:v>1.5385340106044962</c:v>
                </c:pt>
                <c:pt idx="11">
                  <c:v>1.4862476746457329</c:v>
                </c:pt>
                <c:pt idx="12">
                  <c:v>2.0519857581778798</c:v>
                </c:pt>
                <c:pt idx="13">
                  <c:v>2.5437184746310697</c:v>
                </c:pt>
                <c:pt idx="14">
                  <c:v>2.603672160874742</c:v>
                </c:pt>
                <c:pt idx="15">
                  <c:v>2.3069563040698986</c:v>
                </c:pt>
                <c:pt idx="16">
                  <c:v>2.9672707959941724</c:v>
                </c:pt>
                <c:pt idx="17">
                  <c:v>3.1737704668747106</c:v>
                </c:pt>
                <c:pt idx="18">
                  <c:v>3.1624046789302249</c:v>
                </c:pt>
                <c:pt idx="19">
                  <c:v>3.7648778343472169</c:v>
                </c:pt>
                <c:pt idx="20">
                  <c:v>3.4713668625939236</c:v>
                </c:pt>
                <c:pt idx="21">
                  <c:v>4.0128395095285709</c:v>
                </c:pt>
                <c:pt idx="22">
                  <c:v>4.4675557796801906</c:v>
                </c:pt>
                <c:pt idx="23">
                  <c:v>4.7971241270216503</c:v>
                </c:pt>
                <c:pt idx="24">
                  <c:v>4.279244848034649</c:v>
                </c:pt>
                <c:pt idx="25">
                  <c:v>4.8790488047338565</c:v>
                </c:pt>
                <c:pt idx="26">
                  <c:v>5.0689164890070924</c:v>
                </c:pt>
                <c:pt idx="27">
                  <c:v>4.3930062654961395</c:v>
                </c:pt>
                <c:pt idx="28">
                  <c:v>4.3611082798351903</c:v>
                </c:pt>
                <c:pt idx="29">
                  <c:v>4.6837545755942038</c:v>
                </c:pt>
                <c:pt idx="30">
                  <c:v>5.1971536034143488</c:v>
                </c:pt>
                <c:pt idx="31">
                  <c:v>4.3205406868855736</c:v>
                </c:pt>
                <c:pt idx="32">
                  <c:v>3.0367542371220519</c:v>
                </c:pt>
                <c:pt idx="33">
                  <c:v>3.5521682502881009</c:v>
                </c:pt>
                <c:pt idx="34">
                  <c:v>4.0469992829997024</c:v>
                </c:pt>
                <c:pt idx="35">
                  <c:v>3.5485967420299747</c:v>
                </c:pt>
                <c:pt idx="36">
                  <c:v>3.4074735945440926</c:v>
                </c:pt>
                <c:pt idx="37">
                  <c:v>3.4353332572755217</c:v>
                </c:pt>
                <c:pt idx="38">
                  <c:v>3.6670969826780193</c:v>
                </c:pt>
                <c:pt idx="39">
                  <c:v>3.1861120368807856</c:v>
                </c:pt>
                <c:pt idx="40">
                  <c:v>3.6288602371104317</c:v>
                </c:pt>
              </c:numCache>
            </c:numRef>
          </c:val>
          <c:smooth val="0"/>
        </c:ser>
        <c:ser>
          <c:idx val="16"/>
          <c:order val="16"/>
          <c:spPr>
            <a:ln w="1270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Survivability'!$F$34:$BD$34</c15:sqref>
                  </c15:fullRef>
                </c:ext>
              </c:extLst>
              <c:f>'Portfolio Survivability'!$F$34:$AT$34</c:f>
              <c:numCache>
                <c:formatCode>"$"#,##0.00</c:formatCode>
                <c:ptCount val="41"/>
                <c:pt idx="0">
                  <c:v>1</c:v>
                </c:pt>
                <c:pt idx="1">
                  <c:v>1.0942631355599997</c:v>
                </c:pt>
                <c:pt idx="2">
                  <c:v>1.3352802301634537</c:v>
                </c:pt>
                <c:pt idx="3">
                  <c:v>1.1166536981624431</c:v>
                </c:pt>
                <c:pt idx="4">
                  <c:v>0.96325827814989051</c:v>
                </c:pt>
                <c:pt idx="5">
                  <c:v>0.89220992122192699</c:v>
                </c:pt>
                <c:pt idx="6">
                  <c:v>0.99884030230846077</c:v>
                </c:pt>
                <c:pt idx="7">
                  <c:v>1.1826678887105768</c:v>
                </c:pt>
                <c:pt idx="8">
                  <c:v>1.2531026576343223</c:v>
                </c:pt>
                <c:pt idx="9">
                  <c:v>1.3702825601383044</c:v>
                </c:pt>
                <c:pt idx="10">
                  <c:v>1.3195759033976779</c:v>
                </c:pt>
                <c:pt idx="11">
                  <c:v>1.8158000946257711</c:v>
                </c:pt>
                <c:pt idx="12">
                  <c:v>2.2453799679747775</c:v>
                </c:pt>
                <c:pt idx="13">
                  <c:v>2.2936462432201896</c:v>
                </c:pt>
                <c:pt idx="14">
                  <c:v>2.0281708796689735</c:v>
                </c:pt>
                <c:pt idx="15">
                  <c:v>2.6026517107756573</c:v>
                </c:pt>
                <c:pt idx="16">
                  <c:v>2.7786904688398328</c:v>
                </c:pt>
                <c:pt idx="17">
                  <c:v>2.763943586272164</c:v>
                </c:pt>
                <c:pt idx="18">
                  <c:v>3.2847052817243898</c:v>
                </c:pt>
                <c:pt idx="19">
                  <c:v>3.0240904513787337</c:v>
                </c:pt>
                <c:pt idx="20">
                  <c:v>3.4900427663349216</c:v>
                </c:pt>
                <c:pt idx="21">
                  <c:v>3.8799242206284879</c:v>
                </c:pt>
                <c:pt idx="22">
                  <c:v>4.1607016606534595</c:v>
                </c:pt>
                <c:pt idx="23">
                  <c:v>3.7069710551166648</c:v>
                </c:pt>
                <c:pt idx="24">
                  <c:v>4.2206846833049312</c:v>
                </c:pt>
                <c:pt idx="25">
                  <c:v>4.3795347533870261</c:v>
                </c:pt>
                <c:pt idx="26">
                  <c:v>3.7910128336430002</c:v>
                </c:pt>
                <c:pt idx="27">
                  <c:v>3.7582436792070784</c:v>
                </c:pt>
                <c:pt idx="28">
                  <c:v>4.030567034043278</c:v>
                </c:pt>
                <c:pt idx="29">
                  <c:v>4.4664085588697935</c:v>
                </c:pt>
                <c:pt idx="30">
                  <c:v>3.7085534624598253</c:v>
                </c:pt>
                <c:pt idx="31">
                  <c:v>2.6027731663186784</c:v>
                </c:pt>
                <c:pt idx="32">
                  <c:v>3.0380625650051343</c:v>
                </c:pt>
                <c:pt idx="33">
                  <c:v>3.4549093176007108</c:v>
                </c:pt>
                <c:pt idx="34">
                  <c:v>3.0244775796878529</c:v>
                </c:pt>
                <c:pt idx="35">
                  <c:v>2.8987213544646435</c:v>
                </c:pt>
                <c:pt idx="36">
                  <c:v>2.916606166400955</c:v>
                </c:pt>
                <c:pt idx="37">
                  <c:v>3.1071476354731229</c:v>
                </c:pt>
                <c:pt idx="38">
                  <c:v>2.6944856932041805</c:v>
                </c:pt>
                <c:pt idx="39">
                  <c:v>3.0621216277775605</c:v>
                </c:pt>
                <c:pt idx="40">
                  <c:v>3.4690312795273677</c:v>
                </c:pt>
              </c:numCache>
            </c:numRef>
          </c:val>
          <c:smooth val="0"/>
        </c:ser>
        <c:ser>
          <c:idx val="17"/>
          <c:order val="17"/>
          <c:spPr>
            <a:ln w="1270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Survivability'!$F$35:$BD$35</c15:sqref>
                  </c15:fullRef>
                </c:ext>
              </c:extLst>
              <c:f>'Portfolio Survivability'!$F$35:$AT$35</c:f>
              <c:numCache>
                <c:formatCode>"$"#,##0.00</c:formatCode>
                <c:ptCount val="41"/>
                <c:pt idx="0">
                  <c:v>1</c:v>
                </c:pt>
                <c:pt idx="1">
                  <c:v>1.2160944569759999</c:v>
                </c:pt>
                <c:pt idx="2">
                  <c:v>1.0140469115480568</c:v>
                </c:pt>
                <c:pt idx="3">
                  <c:v>0.87161147238616299</c:v>
                </c:pt>
                <c:pt idx="4">
                  <c:v>0.80381744770746655</c:v>
                </c:pt>
                <c:pt idx="5">
                  <c:v>0.89545746942444704</c:v>
                </c:pt>
                <c:pt idx="6">
                  <c:v>1.0553907419970352</c:v>
                </c:pt>
                <c:pt idx="7">
                  <c:v>1.1137441554202108</c:v>
                </c:pt>
                <c:pt idx="8">
                  <c:v>1.2131008106450292</c:v>
                </c:pt>
                <c:pt idx="9">
                  <c:v>1.1638699019140453</c:v>
                </c:pt>
                <c:pt idx="10">
                  <c:v>1.5951537007938792</c:v>
                </c:pt>
                <c:pt idx="11">
                  <c:v>1.9666699284029667</c:v>
                </c:pt>
                <c:pt idx="12">
                  <c:v>2.004017737848153</c:v>
                </c:pt>
                <c:pt idx="13">
                  <c:v>1.7677274741640223</c:v>
                </c:pt>
                <c:pt idx="14">
                  <c:v>2.2620218644683296</c:v>
                </c:pt>
                <c:pt idx="15">
                  <c:v>2.4096038124760581</c:v>
                </c:pt>
                <c:pt idx="16">
                  <c:v>2.3916982863032286</c:v>
                </c:pt>
                <c:pt idx="17">
                  <c:v>2.8361245314795447</c:v>
                </c:pt>
                <c:pt idx="18">
                  <c:v>2.6062415197524125</c:v>
                </c:pt>
                <c:pt idx="19">
                  <c:v>3.0016421819900261</c:v>
                </c:pt>
                <c:pt idx="20">
                  <c:v>3.3309544717598616</c:v>
                </c:pt>
                <c:pt idx="21">
                  <c:v>3.5661510852890101</c:v>
                </c:pt>
                <c:pt idx="22">
                  <c:v>3.1723486449635012</c:v>
                </c:pt>
                <c:pt idx="23">
                  <c:v>3.6056360514918264</c:v>
                </c:pt>
                <c:pt idx="24">
                  <c:v>3.7355092369755294</c:v>
                </c:pt>
                <c:pt idx="25">
                  <c:v>3.2286261169760291</c:v>
                </c:pt>
                <c:pt idx="26">
                  <c:v>3.1950431102269499</c:v>
                </c:pt>
                <c:pt idx="27">
                  <c:v>3.420354401440648</c:v>
                </c:pt>
                <c:pt idx="28">
                  <c:v>3.7837411333183302</c:v>
                </c:pt>
                <c:pt idx="29">
                  <c:v>3.136830470852678</c:v>
                </c:pt>
                <c:pt idx="30">
                  <c:v>2.1973448400437374</c:v>
                </c:pt>
                <c:pt idx="31">
                  <c:v>2.5577812312435961</c:v>
                </c:pt>
                <c:pt idx="32">
                  <c:v>2.9017744925459521</c:v>
                </c:pt>
                <c:pt idx="33">
                  <c:v>2.5348415815932128</c:v>
                </c:pt>
                <c:pt idx="34">
                  <c:v>2.4234412488088592</c:v>
                </c:pt>
                <c:pt idx="35">
                  <c:v>2.4320074813536308</c:v>
                </c:pt>
                <c:pt idx="36">
                  <c:v>2.5840388136625898</c:v>
                </c:pt>
                <c:pt idx="37">
                  <c:v>2.2352047266392101</c:v>
                </c:pt>
                <c:pt idx="38">
                  <c:v>2.5326702270704624</c:v>
                </c:pt>
                <c:pt idx="39">
                  <c:v>2.8616466657295625</c:v>
                </c:pt>
                <c:pt idx="40">
                  <c:v>2.9091767273780422</c:v>
                </c:pt>
              </c:numCache>
            </c:numRef>
          </c:val>
          <c:smooth val="0"/>
        </c:ser>
        <c:ser>
          <c:idx val="18"/>
          <c:order val="18"/>
          <c:spPr>
            <a:ln w="1270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Survivability'!$F$36:$BD$36</c15:sqref>
                  </c15:fullRef>
                </c:ext>
              </c:extLst>
              <c:f>'Portfolio Survivability'!$F$36:$AT$36</c:f>
              <c:numCache>
                <c:formatCode>"$"#,##0.00</c:formatCode>
                <c:ptCount val="41"/>
                <c:pt idx="0">
                  <c:v>1</c:v>
                </c:pt>
                <c:pt idx="1">
                  <c:v>0.82801163869200001</c:v>
                </c:pt>
                <c:pt idx="2">
                  <c:v>0.70544762417292417</c:v>
                </c:pt>
                <c:pt idx="3">
                  <c:v>0.64355399466235563</c:v>
                </c:pt>
                <c:pt idx="4">
                  <c:v>0.7080151553357118</c:v>
                </c:pt>
                <c:pt idx="5">
                  <c:v>0.82462590179031292</c:v>
                </c:pt>
                <c:pt idx="6">
                  <c:v>0.86107473812672852</c:v>
                </c:pt>
                <c:pt idx="7">
                  <c:v>0.92811625338696224</c:v>
                </c:pt>
                <c:pt idx="8">
                  <c:v>0.88156100766716272</c:v>
                </c:pt>
                <c:pt idx="9">
                  <c:v>1.1951020722842904</c:v>
                </c:pt>
                <c:pt idx="10">
                  <c:v>1.4613437217230407</c:v>
                </c:pt>
                <c:pt idx="11">
                  <c:v>1.4788953770215409</c:v>
                </c:pt>
                <c:pt idx="12">
                  <c:v>1.2955203073148753</c:v>
                </c:pt>
                <c:pt idx="13">
                  <c:v>1.6444295151547066</c:v>
                </c:pt>
                <c:pt idx="14">
                  <c:v>1.7404167236900874</c:v>
                </c:pt>
                <c:pt idx="15">
                  <c:v>1.7167842944114273</c:v>
                </c:pt>
                <c:pt idx="16">
                  <c:v>2.0228075470640721</c:v>
                </c:pt>
                <c:pt idx="17">
                  <c:v>1.8486440686222596</c:v>
                </c:pt>
                <c:pt idx="18">
                  <c:v>2.1161282801354968</c:v>
                </c:pt>
                <c:pt idx="19">
                  <c:v>2.335623262292116</c:v>
                </c:pt>
                <c:pt idx="20">
                  <c:v>2.4881777643786478</c:v>
                </c:pt>
                <c:pt idx="21">
                  <c:v>2.2030304426345562</c:v>
                </c:pt>
                <c:pt idx="22">
                  <c:v>2.490497922577334</c:v>
                </c:pt>
                <c:pt idx="23">
                  <c:v>2.5678334269713883</c:v>
                </c:pt>
                <c:pt idx="24">
                  <c:v>2.2089687459781859</c:v>
                </c:pt>
                <c:pt idx="25">
                  <c:v>2.1739101522612412</c:v>
                </c:pt>
                <c:pt idx="26">
                  <c:v>2.31398437122935</c:v>
                </c:pt>
                <c:pt idx="27">
                  <c:v>2.5460040890846343</c:v>
                </c:pt>
                <c:pt idx="28">
                  <c:v>2.1002455991186286</c:v>
                </c:pt>
                <c:pt idx="29">
                  <c:v>1.4622670562945095</c:v>
                </c:pt>
                <c:pt idx="30">
                  <c:v>1.6869882562156548</c:v>
                </c:pt>
                <c:pt idx="31">
                  <c:v>1.8988916277704024</c:v>
                </c:pt>
                <c:pt idx="32">
                  <c:v>1.647087764216453</c:v>
                </c:pt>
                <c:pt idx="33">
                  <c:v>1.5617159472357536</c:v>
                </c:pt>
                <c:pt idx="34">
                  <c:v>1.5533867626552316</c:v>
                </c:pt>
                <c:pt idx="35">
                  <c:v>1.6355957758285942</c:v>
                </c:pt>
                <c:pt idx="36">
                  <c:v>1.4024872938867821</c:v>
                </c:pt>
                <c:pt idx="37">
                  <c:v>1.5727275269376366</c:v>
                </c:pt>
                <c:pt idx="38">
                  <c:v>1.7604040863171535</c:v>
                </c:pt>
                <c:pt idx="39">
                  <c:v>1.774496436756535</c:v>
                </c:pt>
                <c:pt idx="40">
                  <c:v>2.178169572828434</c:v>
                </c:pt>
              </c:numCache>
            </c:numRef>
          </c:val>
          <c:smooth val="0"/>
        </c:ser>
        <c:ser>
          <c:idx val="19"/>
          <c:order val="19"/>
          <c:spPr>
            <a:ln w="1270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Survivability'!$F$37:$BD$37</c15:sqref>
                  </c15:fullRef>
                </c:ext>
              </c:extLst>
              <c:f>'Portfolio Survivability'!$F$37:$AT$37</c:f>
              <c:numCache>
                <c:formatCode>"$"#,##0.00</c:formatCode>
                <c:ptCount val="41"/>
                <c:pt idx="0">
                  <c:v>1</c:v>
                </c:pt>
                <c:pt idx="1">
                  <c:v>0.85906498675200005</c:v>
                </c:pt>
                <c:pt idx="2">
                  <c:v>0.79171648150493001</c:v>
                </c:pt>
                <c:pt idx="3">
                  <c:v>0.88130431682093624</c:v>
                </c:pt>
                <c:pt idx="4">
                  <c:v>1.037966447942362</c:v>
                </c:pt>
                <c:pt idx="5">
                  <c:v>1.0946659187980259</c:v>
                </c:pt>
                <c:pt idx="6">
                  <c:v>1.1915825640947442</c:v>
                </c:pt>
                <c:pt idx="7">
                  <c:v>1.1425536858769714</c:v>
                </c:pt>
                <c:pt idx="8">
                  <c:v>1.5649471181708174</c:v>
                </c:pt>
                <c:pt idx="9">
                  <c:v>1.9285144086503214</c:v>
                </c:pt>
                <c:pt idx="10">
                  <c:v>1.9643674756091978</c:v>
                </c:pt>
                <c:pt idx="11">
                  <c:v>1.7320726641741946</c:v>
                </c:pt>
                <c:pt idx="12">
                  <c:v>2.215389497550055</c:v>
                </c:pt>
                <c:pt idx="13">
                  <c:v>2.3590756964851125</c:v>
                </c:pt>
                <c:pt idx="14">
                  <c:v>2.3407377506956326</c:v>
                </c:pt>
                <c:pt idx="15">
                  <c:v>2.7747136411401843</c:v>
                </c:pt>
                <c:pt idx="16">
                  <c:v>2.5490378280993116</c:v>
                </c:pt>
                <c:pt idx="17">
                  <c:v>2.9347799398842005</c:v>
                </c:pt>
                <c:pt idx="18">
                  <c:v>3.2558002859661195</c:v>
                </c:pt>
                <c:pt idx="19">
                  <c:v>3.4847568654858185</c:v>
                </c:pt>
                <c:pt idx="20">
                  <c:v>3.0991586157770952</c:v>
                </c:pt>
                <c:pt idx="21">
                  <c:v>3.5214356392783479</c:v>
                </c:pt>
                <c:pt idx="22">
                  <c:v>3.6473418772693713</c:v>
                </c:pt>
                <c:pt idx="23">
                  <c:v>3.1516351427385105</c:v>
                </c:pt>
                <c:pt idx="24">
                  <c:v>3.1179407192709734</c:v>
                </c:pt>
                <c:pt idx="25">
                  <c:v>3.3368160395203081</c:v>
                </c:pt>
                <c:pt idx="26">
                  <c:v>3.6902836802601895</c:v>
                </c:pt>
                <c:pt idx="27">
                  <c:v>3.05856135671233</c:v>
                </c:pt>
                <c:pt idx="28">
                  <c:v>2.1418415344031128</c:v>
                </c:pt>
                <c:pt idx="29">
                  <c:v>2.4920305179025259</c:v>
                </c:pt>
                <c:pt idx="30">
                  <c:v>2.8260501060987457</c:v>
                </c:pt>
                <c:pt idx="31">
                  <c:v>2.4678102108338114</c:v>
                </c:pt>
                <c:pt idx="32">
                  <c:v>2.3583752056650651</c:v>
                </c:pt>
                <c:pt idx="33">
                  <c:v>2.3656657208349374</c:v>
                </c:pt>
                <c:pt idx="34">
                  <c:v>2.5124249994848209</c:v>
                </c:pt>
                <c:pt idx="35">
                  <c:v>2.1723289722576813</c:v>
                </c:pt>
                <c:pt idx="36">
                  <c:v>2.46018811121708</c:v>
                </c:pt>
                <c:pt idx="37">
                  <c:v>2.7784954607538879</c:v>
                </c:pt>
                <c:pt idx="38">
                  <c:v>2.8235007508119443</c:v>
                </c:pt>
                <c:pt idx="39">
                  <c:v>3.4941368410153979</c:v>
                </c:pt>
                <c:pt idx="40">
                  <c:v>4.0563950846188801</c:v>
                </c:pt>
              </c:numCache>
            </c:numRef>
          </c:val>
          <c:smooth val="0"/>
        </c:ser>
        <c:ser>
          <c:idx val="20"/>
          <c:order val="20"/>
          <c:spPr>
            <a:ln w="1270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Survivability'!$F$38:$BD$38</c15:sqref>
                  </c15:fullRef>
                </c:ext>
              </c:extLst>
              <c:f>'Portfolio Survivability'!$F$38:$AT$38</c:f>
              <c:numCache>
                <c:formatCode>"$"#,##0.00</c:formatCode>
                <c:ptCount val="41"/>
                <c:pt idx="0">
                  <c:v>1</c:v>
                </c:pt>
                <c:pt idx="1">
                  <c:v>0.92764696289999993</c:v>
                </c:pt>
                <c:pt idx="2">
                  <c:v>1.0402870636903414</c:v>
                </c:pt>
                <c:pt idx="3">
                  <c:v>1.2336940154092049</c:v>
                </c:pt>
                <c:pt idx="4">
                  <c:v>1.3089722679620321</c:v>
                </c:pt>
                <c:pt idx="5">
                  <c:v>1.4332976109267002</c:v>
                </c:pt>
                <c:pt idx="6">
                  <c:v>1.3819993184772315</c:v>
                </c:pt>
                <c:pt idx="7">
                  <c:v>1.9042584796381348</c:v>
                </c:pt>
                <c:pt idx="8">
                  <c:v>2.3571163963799395</c:v>
                </c:pt>
                <c:pt idx="9">
                  <c:v>2.4097599462081241</c:v>
                </c:pt>
                <c:pt idx="10">
                  <c:v>2.1325841113469894</c:v>
                </c:pt>
                <c:pt idx="11">
                  <c:v>2.7392121392878614</c:v>
                </c:pt>
                <c:pt idx="12">
                  <c:v>2.9266593931650919</c:v>
                </c:pt>
                <c:pt idx="13">
                  <c:v>2.9131788286517986</c:v>
                </c:pt>
                <c:pt idx="14">
                  <c:v>3.4645438370942343</c:v>
                </c:pt>
                <c:pt idx="15">
                  <c:v>3.1916084471587451</c:v>
                </c:pt>
                <c:pt idx="16">
                  <c:v>3.6858453180102497</c:v>
                </c:pt>
                <c:pt idx="17">
                  <c:v>4.1000092923226994</c:v>
                </c:pt>
                <c:pt idx="18">
                  <c:v>4.3990603430300235</c:v>
                </c:pt>
                <c:pt idx="19">
                  <c:v>3.9213041977176579</c:v>
                </c:pt>
                <c:pt idx="20">
                  <c:v>4.467261152239665</c:v>
                </c:pt>
                <c:pt idx="21">
                  <c:v>4.6377282189549165</c:v>
                </c:pt>
                <c:pt idx="22">
                  <c:v>4.0164768434770686</c:v>
                </c:pt>
                <c:pt idx="23">
                  <c:v>3.984033967028338</c:v>
                </c:pt>
                <c:pt idx="24">
                  <c:v>4.2752047235914521</c:v>
                </c:pt>
                <c:pt idx="25">
                  <c:v>4.7400937839763415</c:v>
                </c:pt>
                <c:pt idx="26">
                  <c:v>3.9377604376281394</c:v>
                </c:pt>
                <c:pt idx="27">
                  <c:v>2.7653116712890808</c:v>
                </c:pt>
                <c:pt idx="28">
                  <c:v>3.2306100632819374</c:v>
                </c:pt>
                <c:pt idx="29">
                  <c:v>3.6766641918531238</c:v>
                </c:pt>
                <c:pt idx="30">
                  <c:v>3.2207754157103499</c:v>
                </c:pt>
                <c:pt idx="31">
                  <c:v>3.089263832157922</c:v>
                </c:pt>
                <c:pt idx="32">
                  <c:v>3.1108845151831268</c:v>
                </c:pt>
                <c:pt idx="33">
                  <c:v>3.3168649155041514</c:v>
                </c:pt>
                <c:pt idx="34">
                  <c:v>2.878614025708031</c:v>
                </c:pt>
                <c:pt idx="35">
                  <c:v>3.2743816834971469</c:v>
                </c:pt>
                <c:pt idx="36">
                  <c:v>3.712535200370263</c:v>
                </c:pt>
                <c:pt idx="37">
                  <c:v>3.7859013181469301</c:v>
                </c:pt>
                <c:pt idx="38">
                  <c:v>4.7014604225564627</c:v>
                </c:pt>
                <c:pt idx="39">
                  <c:v>5.4734873716031291</c:v>
                </c:pt>
                <c:pt idx="40">
                  <c:v>5.4311774247042175</c:v>
                </c:pt>
              </c:numCache>
            </c:numRef>
          </c:val>
          <c:smooth val="0"/>
        </c:ser>
        <c:ser>
          <c:idx val="21"/>
          <c:order val="21"/>
          <c:spPr>
            <a:ln w="1270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Survivability'!$F$39:$BD$39</c15:sqref>
                  </c15:fullRef>
                </c:ext>
              </c:extLst>
              <c:f>'Portfolio Survivability'!$F$39:$AT$39</c:f>
              <c:numCache>
                <c:formatCode>"$"#,##0.00</c:formatCode>
                <c:ptCount val="41"/>
                <c:pt idx="0">
                  <c:v>1</c:v>
                </c:pt>
                <c:pt idx="1">
                  <c:v>1.124910353952</c:v>
                </c:pt>
                <c:pt idx="2">
                  <c:v>1.3378758280908074</c:v>
                </c:pt>
                <c:pt idx="3">
                  <c:v>1.4230431891615452</c:v>
                </c:pt>
                <c:pt idx="4">
                  <c:v>1.5619576257487695</c:v>
                </c:pt>
                <c:pt idx="5">
                  <c:v>1.5094513701521395</c:v>
                </c:pt>
                <c:pt idx="6">
                  <c:v>2.0848670324272867</c:v>
                </c:pt>
                <c:pt idx="7">
                  <c:v>2.5852525377447679</c:v>
                </c:pt>
                <c:pt idx="8">
                  <c:v>2.6468333209109196</c:v>
                </c:pt>
                <c:pt idx="9">
                  <c:v>2.3457682279546934</c:v>
                </c:pt>
                <c:pt idx="10">
                  <c:v>3.0180323026721294</c:v>
                </c:pt>
                <c:pt idx="11">
                  <c:v>3.2287726781455661</c:v>
                </c:pt>
                <c:pt idx="12">
                  <c:v>3.2178775991251363</c:v>
                </c:pt>
                <c:pt idx="13">
                  <c:v>3.8317264531514903</c:v>
                </c:pt>
                <c:pt idx="14">
                  <c:v>3.533635749372535</c:v>
                </c:pt>
                <c:pt idx="15">
                  <c:v>4.0856221790230514</c:v>
                </c:pt>
                <c:pt idx="16">
                  <c:v>4.5493646166781367</c:v>
                </c:pt>
                <c:pt idx="17">
                  <c:v>4.8857255321214144</c:v>
                </c:pt>
                <c:pt idx="18">
                  <c:v>4.3589156089423424</c:v>
                </c:pt>
                <c:pt idx="19">
                  <c:v>4.9707048811743242</c:v>
                </c:pt>
                <c:pt idx="20">
                  <c:v>5.1648907728418711</c:v>
                </c:pt>
                <c:pt idx="21">
                  <c:v>4.4768145323968858</c:v>
                </c:pt>
                <c:pt idx="22">
                  <c:v>4.4450378290312988</c:v>
                </c:pt>
                <c:pt idx="23">
                  <c:v>4.7746899794075421</c:v>
                </c:pt>
                <c:pt idx="24">
                  <c:v>5.2988864006328571</c:v>
                </c:pt>
                <c:pt idx="25">
                  <c:v>4.4057402686926954</c:v>
                </c:pt>
                <c:pt idx="26">
                  <c:v>3.0971721744071798</c:v>
                </c:pt>
                <c:pt idx="27">
                  <c:v>3.6237409688720117</c:v>
                </c:pt>
                <c:pt idx="28">
                  <c:v>4.1294288100074317</c:v>
                </c:pt>
                <c:pt idx="29">
                  <c:v>3.6215635159533184</c:v>
                </c:pt>
                <c:pt idx="30">
                  <c:v>3.4783010176800548</c:v>
                </c:pt>
                <c:pt idx="31">
                  <c:v>3.5075493582831991</c:v>
                </c:pt>
                <c:pt idx="32">
                  <c:v>3.745051960022185</c:v>
                </c:pt>
                <c:pt idx="33">
                  <c:v>3.2545552285273343</c:v>
                </c:pt>
                <c:pt idx="34">
                  <c:v>3.7077604013326808</c:v>
                </c:pt>
                <c:pt idx="35">
                  <c:v>4.2097056012969105</c:v>
                </c:pt>
                <c:pt idx="36">
                  <c:v>4.2981676122025618</c:v>
                </c:pt>
                <c:pt idx="37">
                  <c:v>5.3440942673749889</c:v>
                </c:pt>
                <c:pt idx="38">
                  <c:v>6.2277768419412789</c:v>
                </c:pt>
                <c:pt idx="39">
                  <c:v>6.1848965315164772</c:v>
                </c:pt>
                <c:pt idx="40">
                  <c:v>6.7715748641355287</c:v>
                </c:pt>
              </c:numCache>
            </c:numRef>
          </c:val>
          <c:smooth val="0"/>
        </c:ser>
        <c:ser>
          <c:idx val="22"/>
          <c:order val="22"/>
          <c:spPr>
            <a:ln w="1270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Survivability'!$F$40:$BD$40</c15:sqref>
                  </c15:fullRef>
                </c:ext>
              </c:extLst>
              <c:f>'Portfolio Survivability'!$F$40:$AT$40</c:f>
              <c:numCache>
                <c:formatCode>"$"#,##0.00</c:formatCode>
                <c:ptCount val="41"/>
                <c:pt idx="0">
                  <c:v>1</c:v>
                </c:pt>
                <c:pt idx="1">
                  <c:v>1.1840956210440001</c:v>
                </c:pt>
                <c:pt idx="2">
                  <c:v>1.2546659126623154</c:v>
                </c:pt>
                <c:pt idx="3">
                  <c:v>1.3720457475743075</c:v>
                </c:pt>
                <c:pt idx="4">
                  <c:v>1.3213225366194821</c:v>
                </c:pt>
                <c:pt idx="5">
                  <c:v>1.8182751971784403</c:v>
                </c:pt>
                <c:pt idx="6">
                  <c:v>2.2485063999024359</c:v>
                </c:pt>
                <c:pt idx="7">
                  <c:v>2.2968951531186139</c:v>
                </c:pt>
                <c:pt idx="8">
                  <c:v>2.0310924054940553</c:v>
                </c:pt>
                <c:pt idx="9">
                  <c:v>2.6064727285927569</c:v>
                </c:pt>
                <c:pt idx="10">
                  <c:v>2.7828307011339439</c:v>
                </c:pt>
                <c:pt idx="11">
                  <c:v>2.7681192506742489</c:v>
                </c:pt>
                <c:pt idx="12">
                  <c:v>3.2897372396038156</c:v>
                </c:pt>
                <c:pt idx="13">
                  <c:v>3.0287776748557977</c:v>
                </c:pt>
                <c:pt idx="14">
                  <c:v>3.495521403497504</c:v>
                </c:pt>
                <c:pt idx="15">
                  <c:v>3.8860822928415248</c:v>
                </c:pt>
                <c:pt idx="16">
                  <c:v>4.1673710361244067</c:v>
                </c:pt>
                <c:pt idx="17">
                  <c:v>3.7129681859516803</c:v>
                </c:pt>
                <c:pt idx="18">
                  <c:v>4.2275839958755057</c:v>
                </c:pt>
                <c:pt idx="19">
                  <c:v>4.3867591143746285</c:v>
                </c:pt>
                <c:pt idx="20">
                  <c:v>3.7973214107914237</c:v>
                </c:pt>
                <c:pt idx="21">
                  <c:v>3.7645613857498361</c:v>
                </c:pt>
                <c:pt idx="22">
                  <c:v>4.0374120987569881</c:v>
                </c:pt>
                <c:pt idx="23">
                  <c:v>4.4740663857586132</c:v>
                </c:pt>
                <c:pt idx="24">
                  <c:v>3.7149667693413551</c:v>
                </c:pt>
                <c:pt idx="25">
                  <c:v>2.6073210615634665</c:v>
                </c:pt>
                <c:pt idx="26">
                  <c:v>3.0434501244143242</c:v>
                </c:pt>
                <c:pt idx="27">
                  <c:v>3.461114111586634</c:v>
                </c:pt>
                <c:pt idx="28">
                  <c:v>3.0299700751133005</c:v>
                </c:pt>
                <c:pt idx="29">
                  <c:v>2.9040528125606144</c:v>
                </c:pt>
                <c:pt idx="30">
                  <c:v>2.9220421557300846</c:v>
                </c:pt>
                <c:pt idx="31">
                  <c:v>3.1130156125458588</c:v>
                </c:pt>
                <c:pt idx="32">
                  <c:v>2.6996376808392184</c:v>
                </c:pt>
                <c:pt idx="33">
                  <c:v>3.0680607527759198</c:v>
                </c:pt>
                <c:pt idx="34">
                  <c:v>3.4758446209192448</c:v>
                </c:pt>
                <c:pt idx="35">
                  <c:v>3.5420239558838813</c:v>
                </c:pt>
                <c:pt idx="36">
                  <c:v>4.3955182811469333</c:v>
                </c:pt>
                <c:pt idx="37">
                  <c:v>5.1143887376631749</c:v>
                </c:pt>
                <c:pt idx="38">
                  <c:v>5.0723503267873049</c:v>
                </c:pt>
                <c:pt idx="39">
                  <c:v>5.5459262776947771</c:v>
                </c:pt>
                <c:pt idx="40">
                  <c:v>6.7493519590539064</c:v>
                </c:pt>
              </c:numCache>
            </c:numRef>
          </c:val>
          <c:smooth val="0"/>
        </c:ser>
        <c:ser>
          <c:idx val="23"/>
          <c:order val="23"/>
          <c:spPr>
            <a:ln w="1270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Survivability'!$F$41:$BD$41</c15:sqref>
                  </c15:fullRef>
                </c:ext>
              </c:extLst>
              <c:f>'Portfolio Survivability'!$F$41:$AT$41</c:f>
              <c:numCache>
                <c:formatCode>"$"#,##0.00</c:formatCode>
                <c:ptCount val="41"/>
                <c:pt idx="0">
                  <c:v>1</c:v>
                </c:pt>
                <c:pt idx="1">
                  <c:v>1.0530956333520001</c:v>
                </c:pt>
                <c:pt idx="2">
                  <c:v>1.144695649485816</c:v>
                </c:pt>
                <c:pt idx="3">
                  <c:v>1.0961069831319237</c:v>
                </c:pt>
                <c:pt idx="4">
                  <c:v>1.4991288621728054</c:v>
                </c:pt>
                <c:pt idx="5">
                  <c:v>1.8453759153571572</c:v>
                </c:pt>
                <c:pt idx="6">
                  <c:v>1.8779720318412738</c:v>
                </c:pt>
                <c:pt idx="7">
                  <c:v>1.6543830611907926</c:v>
                </c:pt>
                <c:pt idx="8">
                  <c:v>2.1137804839810381</c:v>
                </c:pt>
                <c:pt idx="9">
                  <c:v>2.2489780891228563</c:v>
                </c:pt>
                <c:pt idx="10">
                  <c:v>2.2296979280095703</c:v>
                </c:pt>
                <c:pt idx="11">
                  <c:v>2.640903148511466</c:v>
                </c:pt>
                <c:pt idx="12">
                  <c:v>2.4243945585100941</c:v>
                </c:pt>
                <c:pt idx="13">
                  <c:v>2.7890912923983842</c:v>
                </c:pt>
                <c:pt idx="14">
                  <c:v>3.0920440113282099</c:v>
                </c:pt>
                <c:pt idx="15">
                  <c:v>3.3074039466662293</c:v>
                </c:pt>
                <c:pt idx="16">
                  <c:v>2.9396821156510864</c:v>
                </c:pt>
                <c:pt idx="17">
                  <c:v>3.3379682025490425</c:v>
                </c:pt>
                <c:pt idx="18">
                  <c:v>3.4552307098386481</c:v>
                </c:pt>
                <c:pt idx="19">
                  <c:v>2.9838766208581586</c:v>
                </c:pt>
                <c:pt idx="20">
                  <c:v>2.949939427323268</c:v>
                </c:pt>
                <c:pt idx="21">
                  <c:v>3.1547911690097998</c:v>
                </c:pt>
                <c:pt idx="22">
                  <c:v>3.4866457299808697</c:v>
                </c:pt>
                <c:pt idx="23">
                  <c:v>2.8880178478516401</c:v>
                </c:pt>
                <c:pt idx="24">
                  <c:v>2.0209032996819944</c:v>
                </c:pt>
                <c:pt idx="25">
                  <c:v>2.348763822138316</c:v>
                </c:pt>
                <c:pt idx="26">
                  <c:v>2.6610513998674197</c:v>
                </c:pt>
                <c:pt idx="27">
                  <c:v>2.3217530425802999</c:v>
                </c:pt>
                <c:pt idx="28">
                  <c:v>2.2166003634773062</c:v>
                </c:pt>
                <c:pt idx="29">
                  <c:v>2.221111170203824</c:v>
                </c:pt>
                <c:pt idx="30">
                  <c:v>2.356382973368699</c:v>
                </c:pt>
                <c:pt idx="31">
                  <c:v>2.0353266324169548</c:v>
                </c:pt>
                <c:pt idx="32">
                  <c:v>2.3022541100079059</c:v>
                </c:pt>
                <c:pt idx="33">
                  <c:v>2.5973141810332878</c:v>
                </c:pt>
                <c:pt idx="34">
                  <c:v>2.6368181515627938</c:v>
                </c:pt>
                <c:pt idx="35">
                  <c:v>3.2599450585219563</c:v>
                </c:pt>
                <c:pt idx="36">
                  <c:v>3.781513210595564</c:v>
                </c:pt>
                <c:pt idx="37">
                  <c:v>3.7404826668782403</c:v>
                </c:pt>
                <c:pt idx="38">
                  <c:v>4.0786598327105228</c:v>
                </c:pt>
                <c:pt idx="39">
                  <c:v>4.9513145919802808</c:v>
                </c:pt>
                <c:pt idx="40">
                  <c:v>4.5920327271651855</c:v>
                </c:pt>
              </c:numCache>
            </c:numRef>
          </c:val>
          <c:smooth val="0"/>
        </c:ser>
        <c:ser>
          <c:idx val="24"/>
          <c:order val="24"/>
          <c:spPr>
            <a:ln w="1270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Survivability'!$F$42:$BD$42</c15:sqref>
                  </c15:fullRef>
                </c:ext>
              </c:extLst>
              <c:f>'Portfolio Survivability'!$F$42:$AT$42</c:f>
              <c:numCache>
                <c:formatCode>"$"#,##0.00</c:formatCode>
                <c:ptCount val="41"/>
                <c:pt idx="0">
                  <c:v>1</c:v>
                </c:pt>
                <c:pt idx="1">
                  <c:v>1.084809353292</c:v>
                </c:pt>
                <c:pt idx="2">
                  <c:v>1.0367829473958121</c:v>
                </c:pt>
                <c:pt idx="3">
                  <c:v>1.4150625164442929</c:v>
                </c:pt>
                <c:pt idx="4">
                  <c:v>1.7391873022656494</c:v>
                </c:pt>
                <c:pt idx="5">
                  <c:v>1.7676234798319064</c:v>
                </c:pt>
                <c:pt idx="6">
                  <c:v>1.5551540414472318</c:v>
                </c:pt>
                <c:pt idx="7">
                  <c:v>1.9840004049694646</c:v>
                </c:pt>
                <c:pt idx="8">
                  <c:v>2.1083559564933188</c:v>
                </c:pt>
                <c:pt idx="9">
                  <c:v>2.0878723511689889</c:v>
                </c:pt>
                <c:pt idx="10">
                  <c:v>2.4699937410095711</c:v>
                </c:pt>
                <c:pt idx="11">
                  <c:v>2.2651939836067463</c:v>
                </c:pt>
                <c:pt idx="12">
                  <c:v>2.6030105155295491</c:v>
                </c:pt>
                <c:pt idx="13">
                  <c:v>2.8828863636485216</c:v>
                </c:pt>
                <c:pt idx="14">
                  <c:v>3.0808799896975319</c:v>
                </c:pt>
                <c:pt idx="15">
                  <c:v>2.7359908085527764</c:v>
                </c:pt>
                <c:pt idx="16">
                  <c:v>3.1036344796002666</c:v>
                </c:pt>
                <c:pt idx="17">
                  <c:v>3.2098567847071915</c:v>
                </c:pt>
                <c:pt idx="18">
                  <c:v>2.7696071042103179</c:v>
                </c:pt>
                <c:pt idx="19">
                  <c:v>2.7353598326871054</c:v>
                </c:pt>
                <c:pt idx="20">
                  <c:v>2.9222999632873892</c:v>
                </c:pt>
                <c:pt idx="21">
                  <c:v>3.2265492252642454</c:v>
                </c:pt>
                <c:pt idx="22">
                  <c:v>2.6701912075032634</c:v>
                </c:pt>
                <c:pt idx="23">
                  <c:v>1.8664349793398609</c:v>
                </c:pt>
                <c:pt idx="24">
                  <c:v>2.1657764823057426</c:v>
                </c:pt>
                <c:pt idx="25">
                  <c:v>2.4503068568455149</c:v>
                </c:pt>
                <c:pt idx="26">
                  <c:v>2.1352015726826781</c:v>
                </c:pt>
                <c:pt idx="27">
                  <c:v>2.0355184931323773</c:v>
                </c:pt>
                <c:pt idx="28">
                  <c:v>2.0364789181679774</c:v>
                </c:pt>
                <c:pt idx="29">
                  <c:v>2.157078347064842</c:v>
                </c:pt>
                <c:pt idx="30">
                  <c:v>1.8603404391180394</c:v>
                </c:pt>
                <c:pt idx="31">
                  <c:v>2.1005329591415158</c:v>
                </c:pt>
                <c:pt idx="32">
                  <c:v>2.3659004513685842</c:v>
                </c:pt>
                <c:pt idx="33">
                  <c:v>2.3983778633477688</c:v>
                </c:pt>
                <c:pt idx="34">
                  <c:v>2.9608236817041824</c:v>
                </c:pt>
                <c:pt idx="35">
                  <c:v>3.4304204278143975</c:v>
                </c:pt>
                <c:pt idx="36">
                  <c:v>3.3896553664157016</c:v>
                </c:pt>
                <c:pt idx="37">
                  <c:v>3.6921671341880296</c:v>
                </c:pt>
                <c:pt idx="38">
                  <c:v>4.4776935148949786</c:v>
                </c:pt>
                <c:pt idx="39">
                  <c:v>4.1493637347095609</c:v>
                </c:pt>
                <c:pt idx="40">
                  <c:v>5.0091353000101826</c:v>
                </c:pt>
              </c:numCache>
            </c:numRef>
          </c:val>
          <c:smooth val="0"/>
        </c:ser>
        <c:ser>
          <c:idx val="25"/>
          <c:order val="25"/>
          <c:spPr>
            <a:ln w="127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Survivability'!$F$43:$BD$43</c15:sqref>
                  </c15:fullRef>
                </c:ext>
              </c:extLst>
              <c:f>'Portfolio Survivability'!$F$43:$AT$43</c:f>
              <c:numCache>
                <c:formatCode>"$"#,##0.00</c:formatCode>
                <c:ptCount val="41"/>
                <c:pt idx="0">
                  <c:v>1</c:v>
                </c:pt>
                <c:pt idx="1">
                  <c:v>0.95276985215999999</c:v>
                </c:pt>
                <c:pt idx="2">
                  <c:v>1.2960100308508855</c:v>
                </c:pt>
                <c:pt idx="3">
                  <c:v>1.5888058598381727</c:v>
                </c:pt>
                <c:pt idx="4">
                  <c:v>1.6113508443973332</c:v>
                </c:pt>
                <c:pt idx="5">
                  <c:v>1.414628586925643</c:v>
                </c:pt>
                <c:pt idx="6">
                  <c:v>1.8002093664398053</c:v>
                </c:pt>
                <c:pt idx="7">
                  <c:v>1.9092106948084842</c:v>
                </c:pt>
                <c:pt idx="8">
                  <c:v>1.8870228043346553</c:v>
                </c:pt>
                <c:pt idx="9">
                  <c:v>2.2279564596448331</c:v>
                </c:pt>
                <c:pt idx="10">
                  <c:v>2.0397384343510256</c:v>
                </c:pt>
                <c:pt idx="11">
                  <c:v>2.3394879511144127</c:v>
                </c:pt>
                <c:pt idx="12">
                  <c:v>2.5866829588097704</c:v>
                </c:pt>
                <c:pt idx="13">
                  <c:v>2.7600828872438359</c:v>
                </c:pt>
                <c:pt idx="14">
                  <c:v>2.4475286874307569</c:v>
                </c:pt>
                <c:pt idx="15">
                  <c:v>2.7717773977484681</c:v>
                </c:pt>
                <c:pt idx="16">
                  <c:v>2.8623648670609754</c:v>
                </c:pt>
                <c:pt idx="17">
                  <c:v>2.466164408768265</c:v>
                </c:pt>
                <c:pt idx="18">
                  <c:v>2.4314780131827698</c:v>
                </c:pt>
                <c:pt idx="19">
                  <c:v>2.5930522045082958</c:v>
                </c:pt>
                <c:pt idx="20">
                  <c:v>2.8582075885209091</c:v>
                </c:pt>
                <c:pt idx="21">
                  <c:v>2.3617110096642375</c:v>
                </c:pt>
                <c:pt idx="22">
                  <c:v>1.6476811210294415</c:v>
                </c:pt>
                <c:pt idx="23">
                  <c:v>1.906634759772122</c:v>
                </c:pt>
                <c:pt idx="24">
                  <c:v>2.1518561337341473</c:v>
                </c:pt>
                <c:pt idx="25">
                  <c:v>1.8710124255281217</c:v>
                </c:pt>
                <c:pt idx="26">
                  <c:v>1.7790752449616016</c:v>
                </c:pt>
                <c:pt idx="27">
                  <c:v>1.7750077154519412</c:v>
                </c:pt>
                <c:pt idx="28">
                  <c:v>1.8748285246642478</c:v>
                </c:pt>
                <c:pt idx="29">
                  <c:v>1.612529723947405</c:v>
                </c:pt>
                <c:pt idx="30">
                  <c:v>1.8148609200003951</c:v>
                </c:pt>
                <c:pt idx="31">
                  <c:v>2.0381785850465204</c:v>
                </c:pt>
                <c:pt idx="32">
                  <c:v>2.0607051748110106</c:v>
                </c:pt>
                <c:pt idx="33">
                  <c:v>2.5372160763577725</c:v>
                </c:pt>
                <c:pt idx="34">
                  <c:v>2.9332123226947777</c:v>
                </c:pt>
                <c:pt idx="35">
                  <c:v>2.8928232301768491</c:v>
                </c:pt>
                <c:pt idx="36">
                  <c:v>3.1448266256401407</c:v>
                </c:pt>
                <c:pt idx="37">
                  <c:v>3.8069641526537898</c:v>
                </c:pt>
                <c:pt idx="38">
                  <c:v>3.5224678777495591</c:v>
                </c:pt>
                <c:pt idx="39">
                  <c:v>4.2453111448162453</c:v>
                </c:pt>
                <c:pt idx="40">
                  <c:v>4.4018196142872572</c:v>
                </c:pt>
              </c:numCache>
            </c:numRef>
          </c:val>
          <c:smooth val="0"/>
        </c:ser>
        <c:ser>
          <c:idx val="26"/>
          <c:order val="26"/>
          <c:spPr>
            <a:ln w="1270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Survivability'!$F$44:$BD$44</c15:sqref>
                  </c15:fullRef>
                </c:ext>
              </c:extLst>
              <c:f>'Portfolio Survivability'!$F$44:$AT$44</c:f>
              <c:numCache>
                <c:formatCode>"$"#,##0.00</c:formatCode>
                <c:ptCount val="41"/>
                <c:pt idx="0">
                  <c:v>1</c:v>
                </c:pt>
                <c:pt idx="1">
                  <c:v>1.3629384838439997</c:v>
                </c:pt>
                <c:pt idx="2">
                  <c:v>1.6733467012189884</c:v>
                </c:pt>
                <c:pt idx="3">
                  <c:v>1.6992035732392423</c:v>
                </c:pt>
                <c:pt idx="4">
                  <c:v>1.4936286282133573</c:v>
                </c:pt>
                <c:pt idx="5">
                  <c:v>1.9035322817193598</c:v>
                </c:pt>
                <c:pt idx="6">
                  <c:v>2.0211653862123651</c:v>
                </c:pt>
                <c:pt idx="7">
                  <c:v>1.9999356039875709</c:v>
                </c:pt>
                <c:pt idx="8">
                  <c:v>2.3640240161318529</c:v>
                </c:pt>
                <c:pt idx="9">
                  <c:v>2.1664841386106763</c:v>
                </c:pt>
                <c:pt idx="10">
                  <c:v>2.4876340186002999</c:v>
                </c:pt>
                <c:pt idx="11">
                  <c:v>2.7532014112245831</c:v>
                </c:pt>
                <c:pt idx="12">
                  <c:v>2.9404273267982224</c:v>
                </c:pt>
                <c:pt idx="13">
                  <c:v>2.6096951757453741</c:v>
                </c:pt>
                <c:pt idx="14">
                  <c:v>2.9583394925459285</c:v>
                </c:pt>
                <c:pt idx="15">
                  <c:v>3.0577164916805639</c:v>
                </c:pt>
                <c:pt idx="16">
                  <c:v>2.6367526167907132</c:v>
                </c:pt>
                <c:pt idx="17">
                  <c:v>2.602313086224576</c:v>
                </c:pt>
                <c:pt idx="18">
                  <c:v>2.7781474004355231</c:v>
                </c:pt>
                <c:pt idx="19">
                  <c:v>3.0652804253231398</c:v>
                </c:pt>
                <c:pt idx="20">
                  <c:v>2.5351311807548904</c:v>
                </c:pt>
                <c:pt idx="21">
                  <c:v>1.7706592953196747</c:v>
                </c:pt>
                <c:pt idx="22">
                  <c:v>2.0523180229874751</c:v>
                </c:pt>
                <c:pt idx="23">
                  <c:v>2.3196379746000271</c:v>
                </c:pt>
                <c:pt idx="24">
                  <c:v>2.0195332298480961</c:v>
                </c:pt>
                <c:pt idx="25">
                  <c:v>1.9232414905889004</c:v>
                </c:pt>
                <c:pt idx="26">
                  <c:v>1.9220005565741318</c:v>
                </c:pt>
                <c:pt idx="27">
                  <c:v>2.0335026075840208</c:v>
                </c:pt>
                <c:pt idx="28">
                  <c:v>1.7518429664960058</c:v>
                </c:pt>
                <c:pt idx="29">
                  <c:v>1.9754588911204769</c:v>
                </c:pt>
                <c:pt idx="30">
                  <c:v>2.2224159608192688</c:v>
                </c:pt>
                <c:pt idx="31">
                  <c:v>2.2505366642515199</c:v>
                </c:pt>
                <c:pt idx="32">
                  <c:v>2.7753581156494183</c:v>
                </c:pt>
                <c:pt idx="33">
                  <c:v>3.2127307983101843</c:v>
                </c:pt>
                <c:pt idx="34">
                  <c:v>3.172130345101734</c:v>
                </c:pt>
                <c:pt idx="35">
                  <c:v>3.452528336486266</c:v>
                </c:pt>
                <c:pt idx="36">
                  <c:v>4.184032118669843</c:v>
                </c:pt>
                <c:pt idx="37">
                  <c:v>3.8748936980505309</c:v>
                </c:pt>
                <c:pt idx="38">
                  <c:v>4.6747147713855863</c:v>
                </c:pt>
                <c:pt idx="39">
                  <c:v>4.8510963842171284</c:v>
                </c:pt>
                <c:pt idx="40">
                  <c:v>5.1735488496098858</c:v>
                </c:pt>
              </c:numCache>
            </c:numRef>
          </c:val>
          <c:smooth val="0"/>
        </c:ser>
        <c:ser>
          <c:idx val="27"/>
          <c:order val="27"/>
          <c:spPr>
            <a:ln w="1270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Survivability'!$F$45:$BD$45</c15:sqref>
                  </c15:fullRef>
                </c:ext>
              </c:extLst>
              <c:f>'Portfolio Survivability'!$F$45:$AT$45</c:f>
              <c:numCache>
                <c:formatCode>"$"#,##0.00</c:formatCode>
                <c:ptCount val="41"/>
                <c:pt idx="0">
                  <c:v>1</c:v>
                </c:pt>
                <c:pt idx="1">
                  <c:v>1.2149000552639999</c:v>
                </c:pt>
                <c:pt idx="2">
                  <c:v>1.2227972799289673</c:v>
                </c:pt>
                <c:pt idx="3">
                  <c:v>1.0652285393673442</c:v>
                </c:pt>
                <c:pt idx="4">
                  <c:v>1.3432345228310523</c:v>
                </c:pt>
                <c:pt idx="5">
                  <c:v>1.414059377628428</c:v>
                </c:pt>
                <c:pt idx="6">
                  <c:v>1.3876339821821722</c:v>
                </c:pt>
                <c:pt idx="7">
                  <c:v>1.6261591702667129</c:v>
                </c:pt>
                <c:pt idx="8">
                  <c:v>1.4791696754709107</c:v>
                </c:pt>
                <c:pt idx="9">
                  <c:v>1.6842700274094355</c:v>
                </c:pt>
                <c:pt idx="10">
                  <c:v>1.8502079615224263</c:v>
                </c:pt>
                <c:pt idx="11">
                  <c:v>1.9624585476857228</c:v>
                </c:pt>
                <c:pt idx="12">
                  <c:v>1.7303014834204149</c:v>
                </c:pt>
                <c:pt idx="13">
                  <c:v>1.946653717655596</c:v>
                </c:pt>
                <c:pt idx="14">
                  <c:v>1.9983670030080991</c:v>
                </c:pt>
                <c:pt idx="15">
                  <c:v>1.7116897651556824</c:v>
                </c:pt>
                <c:pt idx="16">
                  <c:v>1.6759115391344297</c:v>
                </c:pt>
                <c:pt idx="17">
                  <c:v>1.7744162999490594</c:v>
                </c:pt>
                <c:pt idx="18">
                  <c:v>1.9423693453074586</c:v>
                </c:pt>
                <c:pt idx="19">
                  <c:v>1.5947112076519241</c:v>
                </c:pt>
                <c:pt idx="20">
                  <c:v>1.1037753300292812</c:v>
                </c:pt>
                <c:pt idx="21">
                  <c:v>1.2623092851750908</c:v>
                </c:pt>
                <c:pt idx="22">
                  <c:v>1.4097934433558719</c:v>
                </c:pt>
                <c:pt idx="23">
                  <c:v>1.2141371220861601</c:v>
                </c:pt>
                <c:pt idx="24">
                  <c:v>1.1414592101164125</c:v>
                </c:pt>
                <c:pt idx="25">
                  <c:v>1.12489026181956</c:v>
                </c:pt>
                <c:pt idx="26">
                  <c:v>1.1730474722148632</c:v>
                </c:pt>
                <c:pt idx="27">
                  <c:v>0.99637746910610558</c:v>
                </c:pt>
                <c:pt idx="28">
                  <c:v>1.1045709273311364</c:v>
                </c:pt>
                <c:pt idx="29">
                  <c:v>1.2233366329699187</c:v>
                </c:pt>
                <c:pt idx="30">
                  <c:v>1.2211216713414967</c:v>
                </c:pt>
                <c:pt idx="31">
                  <c:v>1.4839654894233358</c:v>
                </c:pt>
                <c:pt idx="32">
                  <c:v>1.6969627324223135</c:v>
                </c:pt>
                <c:pt idx="33">
                  <c:v>1.6575084423945652</c:v>
                </c:pt>
                <c:pt idx="34">
                  <c:v>1.7839286988674881</c:v>
                </c:pt>
                <c:pt idx="35">
                  <c:v>2.1392743247599095</c:v>
                </c:pt>
                <c:pt idx="36">
                  <c:v>1.9637649154882</c:v>
                </c:pt>
                <c:pt idx="37">
                  <c:v>2.3461520418657025</c:v>
                </c:pt>
                <c:pt idx="38">
                  <c:v>2.4147659087248807</c:v>
                </c:pt>
                <c:pt idx="39">
                  <c:v>2.5546529244688161</c:v>
                </c:pt>
                <c:pt idx="40">
                  <c:v>2.4376915716251539</c:v>
                </c:pt>
              </c:numCache>
            </c:numRef>
          </c:val>
          <c:smooth val="0"/>
        </c:ser>
        <c:ser>
          <c:idx val="28"/>
          <c:order val="28"/>
          <c:spPr>
            <a:ln w="1270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Survivability'!$F$46:$BD$46</c15:sqref>
                  </c15:fullRef>
                </c:ext>
              </c:extLst>
              <c:f>'Portfolio Survivability'!$F$46:$AT$46</c:f>
              <c:numCache>
                <c:formatCode>"$"#,##0.00</c:formatCode>
                <c:ptCount val="41"/>
                <c:pt idx="0">
                  <c:v>1</c:v>
                </c:pt>
                <c:pt idx="1">
                  <c:v>0.99947851499999996</c:v>
                </c:pt>
                <c:pt idx="2">
                  <c:v>0.86441301681872962</c:v>
                </c:pt>
                <c:pt idx="3">
                  <c:v>1.0805910496771129</c:v>
                </c:pt>
                <c:pt idx="4">
                  <c:v>1.1294742117275653</c:v>
                </c:pt>
                <c:pt idx="5">
                  <c:v>1.1006133364315298</c:v>
                </c:pt>
                <c:pt idx="6">
                  <c:v>1.2802798895415359</c:v>
                </c:pt>
                <c:pt idx="7">
                  <c:v>1.1569862383889347</c:v>
                </c:pt>
                <c:pt idx="8">
                  <c:v>1.3076875665553656</c:v>
                </c:pt>
                <c:pt idx="9">
                  <c:v>1.4269234987475021</c:v>
                </c:pt>
                <c:pt idx="10">
                  <c:v>1.5040288775548676</c:v>
                </c:pt>
                <c:pt idx="11">
                  <c:v>1.3180795711283551</c:v>
                </c:pt>
                <c:pt idx="12">
                  <c:v>1.4724189711436086</c:v>
                </c:pt>
                <c:pt idx="13">
                  <c:v>1.501789559006133</c:v>
                </c:pt>
                <c:pt idx="14">
                  <c:v>1.2780601166609706</c:v>
                </c:pt>
                <c:pt idx="15">
                  <c:v>1.2416543678301952</c:v>
                </c:pt>
                <c:pt idx="16">
                  <c:v>1.3039103624142598</c:v>
                </c:pt>
                <c:pt idx="17">
                  <c:v>1.4159969630878273</c:v>
                </c:pt>
                <c:pt idx="18">
                  <c:v>1.1538828016108886</c:v>
                </c:pt>
                <c:pt idx="19">
                  <c:v>0.79116883097409618</c:v>
                </c:pt>
                <c:pt idx="20">
                  <c:v>0.89198719227097412</c:v>
                </c:pt>
                <c:pt idx="21">
                  <c:v>0.98329748843680431</c:v>
                </c:pt>
                <c:pt idx="22">
                  <c:v>0.83660209244948724</c:v>
                </c:pt>
                <c:pt idx="23">
                  <c:v>0.77499332633187257</c:v>
                </c:pt>
                <c:pt idx="24">
                  <c:v>0.75123926468459834</c:v>
                </c:pt>
                <c:pt idx="25">
                  <c:v>0.7697031402744805</c:v>
                </c:pt>
                <c:pt idx="26">
                  <c:v>0.64224776050949328</c:v>
                </c:pt>
                <c:pt idx="27">
                  <c:v>0.69633613447487752</c:v>
                </c:pt>
                <c:pt idx="28">
                  <c:v>0.75501124622682303</c:v>
                </c:pt>
                <c:pt idx="29">
                  <c:v>0.73857623051898069</c:v>
                </c:pt>
                <c:pt idx="30">
                  <c:v>0.87861621008592183</c:v>
                </c:pt>
                <c:pt idx="31">
                  <c:v>0.98643590448977525</c:v>
                </c:pt>
                <c:pt idx="32">
                  <c:v>0.94751888642823634</c:v>
                </c:pt>
                <c:pt idx="33">
                  <c:v>1.0017610082503956</c:v>
                </c:pt>
                <c:pt idx="34">
                  <c:v>1.1807798809901506</c:v>
                </c:pt>
                <c:pt idx="35">
                  <c:v>1.0679100006076823</c:v>
                </c:pt>
                <c:pt idx="36">
                  <c:v>1.254622059751614</c:v>
                </c:pt>
                <c:pt idx="37">
                  <c:v>1.2727190458145663</c:v>
                </c:pt>
                <c:pt idx="38">
                  <c:v>1.3270272367050626</c:v>
                </c:pt>
                <c:pt idx="39">
                  <c:v>1.248488800107415</c:v>
                </c:pt>
                <c:pt idx="40">
                  <c:v>1.5817413436183978</c:v>
                </c:pt>
              </c:numCache>
            </c:numRef>
          </c:val>
          <c:smooth val="0"/>
        </c:ser>
        <c:ser>
          <c:idx val="29"/>
          <c:order val="29"/>
          <c:spPr>
            <a:ln w="1270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Survivability'!$F$47:$BD$47</c15:sqref>
                  </c15:fullRef>
                </c:ext>
              </c:extLst>
              <c:f>'Portfolio Survivability'!$F$47:$AT$47</c:f>
              <c:numCache>
                <c:formatCode>"$"#,##0.00</c:formatCode>
                <c:ptCount val="41"/>
                <c:pt idx="0">
                  <c:v>1</c:v>
                </c:pt>
                <c:pt idx="1">
                  <c:v>0.86488195315199989</c:v>
                </c:pt>
                <c:pt idx="2">
                  <c:v>1.0812043641544751</c:v>
                </c:pt>
                <c:pt idx="3">
                  <c:v>1.1301387635635336</c:v>
                </c:pt>
                <c:pt idx="4">
                  <c:v>1.1012835755021102</c:v>
                </c:pt>
                <c:pt idx="5">
                  <c:v>1.2810875729297466</c:v>
                </c:pt>
                <c:pt idx="6">
                  <c:v>1.1577385881959026</c:v>
                </c:pt>
                <c:pt idx="7">
                  <c:v>1.308566946775209</c:v>
                </c:pt>
                <c:pt idx="8">
                  <c:v>1.4279119356042986</c:v>
                </c:pt>
                <c:pt idx="9">
                  <c:v>1.5050993840866591</c:v>
                </c:pt>
                <c:pt idx="10">
                  <c:v>1.3190421751621</c:v>
                </c:pt>
                <c:pt idx="11">
                  <c:v>1.4735263850542282</c:v>
                </c:pt>
                <c:pt idx="12">
                  <c:v>1.5029491466855098</c:v>
                </c:pt>
                <c:pt idx="13">
                  <c:v>1.2790727111794704</c:v>
                </c:pt>
                <c:pt idx="14">
                  <c:v>1.2426684277147266</c:v>
                </c:pt>
                <c:pt idx="15">
                  <c:v>1.3050090689600948</c:v>
                </c:pt>
                <c:pt idx="16">
                  <c:v>1.4172261267088468</c:v>
                </c:pt>
                <c:pt idx="17">
                  <c:v>1.1549122063785418</c:v>
                </c:pt>
                <c:pt idx="18">
                  <c:v>0.79189881710048204</c:v>
                </c:pt>
                <c:pt idx="19">
                  <c:v>0.89285195353131652</c:v>
                </c:pt>
                <c:pt idx="20">
                  <c:v>0.98429342464091918</c:v>
                </c:pt>
                <c:pt idx="21">
                  <c:v>0.83748369706964854</c:v>
                </c:pt>
                <c:pt idx="22">
                  <c:v>0.775849082727741</c:v>
                </c:pt>
                <c:pt idx="23">
                  <c:v>0.75211179946824236</c:v>
                </c:pt>
                <c:pt idx="24">
                  <c:v>0.77064501373956473</c:v>
                </c:pt>
                <c:pt idx="25">
                  <c:v>0.64307470996511251</c:v>
                </c:pt>
                <c:pt idx="26">
                  <c:v>0.69728942794764259</c:v>
                </c:pt>
                <c:pt idx="27">
                  <c:v>0.75610486083813233</c:v>
                </c:pt>
                <c:pt idx="28">
                  <c:v>0.73970305122877433</c:v>
                </c:pt>
                <c:pt idx="29">
                  <c:v>0.88002979738135523</c:v>
                </c:pt>
                <c:pt idx="30">
                  <c:v>0.98809509816739793</c:v>
                </c:pt>
                <c:pt idx="31">
                  <c:v>0.94917682548996773</c:v>
                </c:pt>
                <c:pt idx="32">
                  <c:v>1.0035874947898114</c:v>
                </c:pt>
                <c:pt idx="33">
                  <c:v>1.1830181186732605</c:v>
                </c:pt>
                <c:pt idx="34">
                  <c:v>1.0700019649817254</c:v>
                </c:pt>
                <c:pt idx="35">
                  <c:v>1.2571709566743785</c:v>
                </c:pt>
                <c:pt idx="36">
                  <c:v>1.2753859077260339</c:v>
                </c:pt>
                <c:pt idx="37">
                  <c:v>1.3298939388471209</c:v>
                </c:pt>
                <c:pt idx="38">
                  <c:v>1.2512657786004782</c:v>
                </c:pt>
                <c:pt idx="39">
                  <c:v>1.5853706110233572</c:v>
                </c:pt>
                <c:pt idx="40">
                  <c:v>1.7773447299959131</c:v>
                </c:pt>
              </c:numCache>
            </c:numRef>
          </c:val>
          <c:smooth val="0"/>
        </c:ser>
        <c:ser>
          <c:idx val="30"/>
          <c:order val="30"/>
          <c:spPr>
            <a:ln w="127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Survivability'!$F$48:$BD$48</c15:sqref>
                  </c15:fullRef>
                </c:ext>
              </c:extLst>
              <c:f>'Portfolio Survivability'!$F$48:$AT$48</c:f>
              <c:numCache>
                <c:formatCode>"$"#,##0.00</c:formatCode>
                <c:ptCount val="41"/>
                <c:pt idx="0">
                  <c:v>1</c:v>
                </c:pt>
                <c:pt idx="1">
                  <c:v>1.2579231389760002</c:v>
                </c:pt>
                <c:pt idx="2">
                  <c:v>1.3216209323243171</c:v>
                </c:pt>
                <c:pt idx="3">
                  <c:v>1.2944044486631485</c:v>
                </c:pt>
                <c:pt idx="4">
                  <c:v>1.5138112800598236</c:v>
                </c:pt>
                <c:pt idx="5">
                  <c:v>1.3745186268742051</c:v>
                </c:pt>
                <c:pt idx="6">
                  <c:v>1.5619491850705449</c:v>
                </c:pt>
                <c:pt idx="7">
                  <c:v>1.7127174583317915</c:v>
                </c:pt>
                <c:pt idx="8">
                  <c:v>1.8135522410128904</c:v>
                </c:pt>
                <c:pt idx="9">
                  <c:v>1.5964042981193376</c:v>
                </c:pt>
                <c:pt idx="10">
                  <c:v>1.792613634301327</c:v>
                </c:pt>
                <c:pt idx="11">
                  <c:v>1.837069604560347</c:v>
                </c:pt>
                <c:pt idx="12">
                  <c:v>1.5708389572165822</c:v>
                </c:pt>
                <c:pt idx="13">
                  <c:v>1.5348569003571284</c:v>
                </c:pt>
                <c:pt idx="14">
                  <c:v>1.621587401666915</c:v>
                </c:pt>
                <c:pt idx="15">
                  <c:v>1.7713940082431434</c:v>
                </c:pt>
                <c:pt idx="16">
                  <c:v>1.4515221121439799</c:v>
                </c:pt>
                <c:pt idx="17">
                  <c:v>1.0022350453375315</c:v>
                </c:pt>
                <c:pt idx="18">
                  <c:v>1.1420219243723631</c:v>
                </c:pt>
                <c:pt idx="19">
                  <c:v>1.2712597890228672</c:v>
                </c:pt>
                <c:pt idx="20">
                  <c:v>1.0915068680566413</c:v>
                </c:pt>
                <c:pt idx="21">
                  <c:v>1.0224244162725173</c:v>
                </c:pt>
                <c:pt idx="22">
                  <c:v>1.0035216122901645</c:v>
                </c:pt>
                <c:pt idx="23">
                  <c:v>1.0420338867078005</c:v>
                </c:pt>
                <c:pt idx="24">
                  <c:v>0.88134968965370686</c:v>
                </c:pt>
                <c:pt idx="25">
                  <c:v>0.97196883104399467</c:v>
                </c:pt>
                <c:pt idx="26">
                  <c:v>1.0712160173013596</c:v>
                </c:pt>
                <c:pt idx="27">
                  <c:v>1.0643821231046118</c:v>
                </c:pt>
                <c:pt idx="28">
                  <c:v>1.2873370176940411</c:v>
                </c:pt>
                <c:pt idx="29">
                  <c:v>1.4661706772108856</c:v>
                </c:pt>
                <c:pt idx="30">
                  <c:v>1.4268909029036057</c:v>
                </c:pt>
                <c:pt idx="31">
                  <c:v>1.5298663865931446</c:v>
                </c:pt>
                <c:pt idx="32">
                  <c:v>1.8279378714552066</c:v>
                </c:pt>
                <c:pt idx="33">
                  <c:v>1.6727749220798662</c:v>
                </c:pt>
                <c:pt idx="34">
                  <c:v>1.991603222604339</c:v>
                </c:pt>
                <c:pt idx="35">
                  <c:v>2.0438082864690457</c:v>
                </c:pt>
                <c:pt idx="36">
                  <c:v>2.1558977411722893</c:v>
                </c:pt>
                <c:pt idx="37">
                  <c:v>2.0514168513583444</c:v>
                </c:pt>
                <c:pt idx="38">
                  <c:v>2.6310979058718291</c:v>
                </c:pt>
                <c:pt idx="39">
                  <c:v>2.9786459202262865</c:v>
                </c:pt>
                <c:pt idx="40">
                  <c:v>3.6906488273059908</c:v>
                </c:pt>
              </c:numCache>
            </c:numRef>
          </c:val>
          <c:smooth val="0"/>
        </c:ser>
        <c:ser>
          <c:idx val="31"/>
          <c:order val="31"/>
          <c:spPr>
            <a:ln w="1270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Survivability'!$F$49:$BD$49</c15:sqref>
                  </c15:fullRef>
                </c:ext>
              </c:extLst>
              <c:f>'Portfolio Survivability'!$F$49:$AT$49</c:f>
              <c:numCache>
                <c:formatCode>"$"#,##0.00</c:formatCode>
                <c:ptCount val="41"/>
                <c:pt idx="0">
                  <c:v>1</c:v>
                </c:pt>
                <c:pt idx="1">
                  <c:v>1.0421504455320001</c:v>
                </c:pt>
                <c:pt idx="2">
                  <c:v>1.0125422534448631</c:v>
                </c:pt>
                <c:pt idx="3">
                  <c:v>1.1741482809373929</c:v>
                </c:pt>
                <c:pt idx="4">
                  <c:v>1.058125600158653</c:v>
                </c:pt>
                <c:pt idx="5">
                  <c:v>1.1921348157263687</c:v>
                </c:pt>
                <c:pt idx="6">
                  <c:v>1.2970404342365118</c:v>
                </c:pt>
                <c:pt idx="7">
                  <c:v>1.3633616533694652</c:v>
                </c:pt>
                <c:pt idx="8">
                  <c:v>1.1915910038984665</c:v>
                </c:pt>
                <c:pt idx="9">
                  <c:v>1.3269020254688946</c:v>
                </c:pt>
                <c:pt idx="10">
                  <c:v>1.3494168501871349</c:v>
                </c:pt>
                <c:pt idx="11">
                  <c:v>1.1450026752418079</c:v>
                </c:pt>
                <c:pt idx="12">
                  <c:v>1.1084043736652573</c:v>
                </c:pt>
                <c:pt idx="13">
                  <c:v>1.1595375861563921</c:v>
                </c:pt>
                <c:pt idx="14">
                  <c:v>1.2544818022703401</c:v>
                </c:pt>
                <c:pt idx="15">
                  <c:v>1.0186164515900291</c:v>
                </c:pt>
                <c:pt idx="16">
                  <c:v>0.69524683606513393</c:v>
                </c:pt>
                <c:pt idx="17">
                  <c:v>0.77835540912639489</c:v>
                </c:pt>
                <c:pt idx="18">
                  <c:v>0.8524289910124504</c:v>
                </c:pt>
                <c:pt idx="19">
                  <c:v>0.72075704987930411</c:v>
                </c:pt>
                <c:pt idx="20">
                  <c:v>0.66254480480422684</c:v>
                </c:pt>
                <c:pt idx="21">
                  <c:v>0.63658602121962093</c:v>
                </c:pt>
                <c:pt idx="22">
                  <c:v>0.64593862139250402</c:v>
                </c:pt>
                <c:pt idx="23">
                  <c:v>0.53358454266922772</c:v>
                </c:pt>
                <c:pt idx="24">
                  <c:v>0.57107099814415052</c:v>
                </c:pt>
                <c:pt idx="25">
                  <c:v>0.61130756284633658</c:v>
                </c:pt>
                <c:pt idx="26">
                  <c:v>0.5905091831037288</c:v>
                </c:pt>
                <c:pt idx="27">
                  <c:v>0.6928673191759589</c:v>
                </c:pt>
                <c:pt idx="28">
                  <c:v>0.76841372332074587</c:v>
                </c:pt>
                <c:pt idx="29">
                  <c:v>0.72966156491171963</c:v>
                </c:pt>
                <c:pt idx="30">
                  <c:v>0.76175612842835949</c:v>
                </c:pt>
                <c:pt idx="31">
                  <c:v>0.88666987549304632</c:v>
                </c:pt>
                <c:pt idx="32">
                  <c:v>0.79302067218982475</c:v>
                </c:pt>
                <c:pt idx="33">
                  <c:v>0.91969065652175463</c:v>
                </c:pt>
                <c:pt idx="34">
                  <c:v>0.92228674929810661</c:v>
                </c:pt>
                <c:pt idx="35">
                  <c:v>0.9503354362220604</c:v>
                </c:pt>
                <c:pt idx="36">
                  <c:v>0.88358691054333804</c:v>
                </c:pt>
                <c:pt idx="37">
                  <c:v>1.1048465685558264</c:v>
                </c:pt>
                <c:pt idx="38">
                  <c:v>1.2253326452064452</c:v>
                </c:pt>
                <c:pt idx="39">
                  <c:v>1.4900085986110081</c:v>
                </c:pt>
                <c:pt idx="40">
                  <c:v>1.7950960588679179</c:v>
                </c:pt>
              </c:numCache>
            </c:numRef>
          </c:val>
          <c:smooth val="0"/>
        </c:ser>
        <c:ser>
          <c:idx val="32"/>
          <c:order val="32"/>
          <c:spPr>
            <a:ln w="1270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Survivability'!$F$50:$BD$50</c15:sqref>
                  </c15:fullRef>
                </c:ext>
              </c:extLst>
              <c:f>'Portfolio Survivability'!$F$50:$AT$50</c:f>
              <c:numCache>
                <c:formatCode>"$"#,##0.00</c:formatCode>
                <c:ptCount val="41"/>
                <c:pt idx="0">
                  <c:v>1</c:v>
                </c:pt>
                <c:pt idx="1">
                  <c:v>0.97003108439999997</c:v>
                </c:pt>
                <c:pt idx="2">
                  <c:v>1.1229194484833052</c:v>
                </c:pt>
                <c:pt idx="3">
                  <c:v>1.0104064037871623</c:v>
                </c:pt>
                <c:pt idx="4">
                  <c:v>1.1363584773698372</c:v>
                </c:pt>
                <c:pt idx="5">
                  <c:v>1.2343469743147399</c:v>
                </c:pt>
                <c:pt idx="6">
                  <c:v>1.2954627705168191</c:v>
                </c:pt>
                <c:pt idx="7">
                  <c:v>1.1305360391881258</c:v>
                </c:pt>
                <c:pt idx="8">
                  <c:v>1.2566622229515736</c:v>
                </c:pt>
                <c:pt idx="9">
                  <c:v>1.2758678286154468</c:v>
                </c:pt>
                <c:pt idx="10">
                  <c:v>1.0807769703563181</c:v>
                </c:pt>
                <c:pt idx="11">
                  <c:v>1.0440857251931994</c:v>
                </c:pt>
                <c:pt idx="12">
                  <c:v>1.0898500645676803</c:v>
                </c:pt>
                <c:pt idx="13">
                  <c:v>1.1765197962182503</c:v>
                </c:pt>
                <c:pt idx="14">
                  <c:v>0.9533245251504614</c:v>
                </c:pt>
                <c:pt idx="15">
                  <c:v>0.64894609804295234</c:v>
                </c:pt>
                <c:pt idx="16">
                  <c:v>0.72350630567140661</c:v>
                </c:pt>
                <c:pt idx="17">
                  <c:v>0.78925987093365768</c:v>
                </c:pt>
                <c:pt idx="18">
                  <c:v>0.66483962476422864</c:v>
                </c:pt>
                <c:pt idx="19">
                  <c:v>0.60826685175316131</c:v>
                </c:pt>
                <c:pt idx="20">
                  <c:v>0.58124386748205958</c:v>
                </c:pt>
                <c:pt idx="21">
                  <c:v>0.58619853184751058</c:v>
                </c:pt>
                <c:pt idx="22">
                  <c:v>0.48113372378619196</c:v>
                </c:pt>
                <c:pt idx="23">
                  <c:v>0.51060657321151137</c:v>
                </c:pt>
                <c:pt idx="24">
                  <c:v>0.54194300674700469</c:v>
                </c:pt>
                <c:pt idx="25">
                  <c:v>0.5190384679815282</c:v>
                </c:pt>
                <c:pt idx="26">
                  <c:v>0.60320789597385094</c:v>
                </c:pt>
                <c:pt idx="27">
                  <c:v>0.66317625507467204</c:v>
                </c:pt>
                <c:pt idx="28">
                  <c:v>0.62450367302963483</c:v>
                </c:pt>
                <c:pt idx="29">
                  <c:v>0.64590779692491285</c:v>
                </c:pt>
                <c:pt idx="30">
                  <c:v>0.7447054561005173</c:v>
                </c:pt>
                <c:pt idx="31">
                  <c:v>0.66033391153343612</c:v>
                </c:pt>
                <c:pt idx="32">
                  <c:v>0.75802209269480858</c:v>
                </c:pt>
                <c:pt idx="33">
                  <c:v>0.75313603500239834</c:v>
                </c:pt>
                <c:pt idx="34">
                  <c:v>0.76850948081088899</c:v>
                </c:pt>
                <c:pt idx="35">
                  <c:v>0.70745184570716058</c:v>
                </c:pt>
                <c:pt idx="36">
                  <c:v>0.87465348233742712</c:v>
                </c:pt>
                <c:pt idx="37">
                  <c:v>0.96089350335824841</c:v>
                </c:pt>
                <c:pt idx="38">
                  <c:v>1.1581024744267061</c:v>
                </c:pt>
                <c:pt idx="39">
                  <c:v>1.3847090588133717</c:v>
                </c:pt>
                <c:pt idx="40">
                  <c:v>1.5152352076803015</c:v>
                </c:pt>
              </c:numCache>
            </c:numRef>
          </c:val>
          <c:smooth val="0"/>
        </c:ser>
        <c:ser>
          <c:idx val="33"/>
          <c:order val="33"/>
          <c:spPr>
            <a:ln w="1270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Survivability'!$F$51:$BD$51</c15:sqref>
                  </c15:fullRef>
                </c:ext>
              </c:extLst>
              <c:f>'Portfolio Survivability'!$F$51:$AT$51</c:f>
              <c:numCache>
                <c:formatCode>"$"#,##0.00</c:formatCode>
                <c:ptCount val="41"/>
                <c:pt idx="0">
                  <c:v>1</c:v>
                </c:pt>
                <c:pt idx="1">
                  <c:v>1.15903401768</c:v>
                </c:pt>
                <c:pt idx="2">
                  <c:v>1.044046799962761</c:v>
                </c:pt>
                <c:pt idx="3">
                  <c:v>1.1756788822008575</c:v>
                </c:pt>
                <c:pt idx="4">
                  <c:v>1.2785437125198169</c:v>
                </c:pt>
                <c:pt idx="5">
                  <c:v>1.3433291532878464</c:v>
                </c:pt>
                <c:pt idx="6">
                  <c:v>1.1735776944866245</c:v>
                </c:pt>
                <c:pt idx="7">
                  <c:v>1.3061788737682287</c:v>
                </c:pt>
                <c:pt idx="8">
                  <c:v>1.327717365324691</c:v>
                </c:pt>
                <c:pt idx="9">
                  <c:v>1.1260538886888274</c:v>
                </c:pt>
                <c:pt idx="10">
                  <c:v>1.0894281655653046</c:v>
                </c:pt>
                <c:pt idx="11">
                  <c:v>1.1389773762786639</c:v>
                </c:pt>
                <c:pt idx="12">
                  <c:v>1.2314803355747685</c:v>
                </c:pt>
                <c:pt idx="13">
                  <c:v>0.99935309309607256</c:v>
                </c:pt>
                <c:pt idx="14">
                  <c:v>0.68158652975020895</c:v>
                </c:pt>
                <c:pt idx="15">
                  <c:v>0.76217304171067024</c:v>
                </c:pt>
                <c:pt idx="16">
                  <c:v>0.83379193322932843</c:v>
                </c:pt>
                <c:pt idx="17">
                  <c:v>0.70425949091927464</c:v>
                </c:pt>
                <c:pt idx="18">
                  <c:v>0.64653094635407704</c:v>
                </c:pt>
                <c:pt idx="19">
                  <c:v>0.62025818705376823</c:v>
                </c:pt>
                <c:pt idx="20">
                  <c:v>0.62831324526837584</c:v>
                </c:pt>
                <c:pt idx="21">
                  <c:v>0.51810975148841154</c:v>
                </c:pt>
                <c:pt idx="22">
                  <c:v>0.55323191822840578</c:v>
                </c:pt>
                <c:pt idx="23">
                  <c:v>0.59084263886906108</c:v>
                </c:pt>
                <c:pt idx="24">
                  <c:v>0.56942286995147851</c:v>
                </c:pt>
                <c:pt idx="25">
                  <c:v>0.6664147130776813</c:v>
                </c:pt>
                <c:pt idx="26">
                  <c:v>0.73736505944502373</c:v>
                </c:pt>
                <c:pt idx="27">
                  <c:v>0.69863637879367368</c:v>
                </c:pt>
                <c:pt idx="28">
                  <c:v>0.7275768958283968</c:v>
                </c:pt>
                <c:pt idx="29">
                  <c:v>0.84478550091151383</c:v>
                </c:pt>
                <c:pt idx="30">
                  <c:v>0.75387352525594453</c:v>
                </c:pt>
                <c:pt idx="31">
                  <c:v>0.87199288327433655</c:v>
                </c:pt>
                <c:pt idx="32">
                  <c:v>0.87238148494657941</c:v>
                </c:pt>
                <c:pt idx="33">
                  <c:v>0.89669054084845745</c:v>
                </c:pt>
                <c:pt idx="34">
                  <c:v>0.83162102314627961</c:v>
                </c:pt>
                <c:pt idx="35">
                  <c:v>1.0369317100968778</c:v>
                </c:pt>
                <c:pt idx="36">
                  <c:v>1.1473140253397003</c:v>
                </c:pt>
                <c:pt idx="37">
                  <c:v>1.3920849041337178</c:v>
                </c:pt>
                <c:pt idx="38">
                  <c:v>1.6740178132960519</c:v>
                </c:pt>
                <c:pt idx="39">
                  <c:v>1.84079618910334</c:v>
                </c:pt>
                <c:pt idx="40">
                  <c:v>1.6735362144790411</c:v>
                </c:pt>
              </c:numCache>
            </c:numRef>
          </c:val>
          <c:smooth val="0"/>
        </c:ser>
        <c:ser>
          <c:idx val="34"/>
          <c:order val="34"/>
          <c:spPr>
            <a:ln w="1270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Survivability'!$F$52:$BD$52</c15:sqref>
                  </c15:fullRef>
                </c:ext>
              </c:extLst>
              <c:f>'Portfolio Survivability'!$F$52:$AT$52</c:f>
              <c:numCache>
                <c:formatCode>"$"#,##0.00</c:formatCode>
                <c:ptCount val="41"/>
                <c:pt idx="0">
                  <c:v>1</c:v>
                </c:pt>
                <c:pt idx="1">
                  <c:v>0.8959080438</c:v>
                </c:pt>
                <c:pt idx="2">
                  <c:v>1.0025276555304459</c:v>
                </c:pt>
                <c:pt idx="3">
                  <c:v>1.0839190776024572</c:v>
                </c:pt>
                <c:pt idx="4">
                  <c:v>1.1325448816432104</c:v>
                </c:pt>
                <c:pt idx="5">
                  <c:v>0.98403957948277054</c:v>
                </c:pt>
                <c:pt idx="6">
                  <c:v>1.0881274862924257</c:v>
                </c:pt>
                <c:pt idx="7">
                  <c:v>1.0993928879425188</c:v>
                </c:pt>
                <c:pt idx="8">
                  <c:v>0.92667257553039484</c:v>
                </c:pt>
                <c:pt idx="9">
                  <c:v>0.88975831973334785</c:v>
                </c:pt>
                <c:pt idx="10">
                  <c:v>0.92264048141878219</c:v>
                </c:pt>
                <c:pt idx="11">
                  <c:v>0.98945625548338501</c:v>
                </c:pt>
                <c:pt idx="12">
                  <c:v>0.79666181776674672</c:v>
                </c:pt>
                <c:pt idx="13">
                  <c:v>0.53785121437256778</c:v>
                </c:pt>
                <c:pt idx="14">
                  <c:v>0.59190030913550762</c:v>
                </c:pt>
                <c:pt idx="15">
                  <c:v>0.63769066606802538</c:v>
                </c:pt>
                <c:pt idx="16">
                  <c:v>0.53067027663568156</c:v>
                </c:pt>
                <c:pt idx="17">
                  <c:v>0.47803128451045612</c:v>
                </c:pt>
                <c:pt idx="18">
                  <c:v>0.44845483659021035</c:v>
                </c:pt>
                <c:pt idx="19">
                  <c:v>0.44285700896984487</c:v>
                </c:pt>
                <c:pt idx="20">
                  <c:v>0.35528221750057665</c:v>
                </c:pt>
                <c:pt idx="21">
                  <c:v>0.36552706603669938</c:v>
                </c:pt>
                <c:pt idx="22">
                  <c:v>0.37550835322136794</c:v>
                </c:pt>
                <c:pt idx="23">
                  <c:v>0.34755025588140737</c:v>
                </c:pt>
                <c:pt idx="24">
                  <c:v>0.38807734695711699</c:v>
                </c:pt>
                <c:pt idx="25">
                  <c:v>0.41066744437359348</c:v>
                </c:pt>
                <c:pt idx="26">
                  <c:v>0.37218579939085594</c:v>
                </c:pt>
                <c:pt idx="27">
                  <c:v>0.36793907630500178</c:v>
                </c:pt>
                <c:pt idx="28">
                  <c:v>0.40407329057886077</c:v>
                </c:pt>
                <c:pt idx="29">
                  <c:v>0.34196273929295107</c:v>
                </c:pt>
                <c:pt idx="30">
                  <c:v>0.37011142304396827</c:v>
                </c:pt>
                <c:pt idx="31">
                  <c:v>0.34727254923158152</c:v>
                </c:pt>
                <c:pt idx="32">
                  <c:v>0.33223277707923032</c:v>
                </c:pt>
                <c:pt idx="33">
                  <c:v>0.2848299745638494</c:v>
                </c:pt>
                <c:pt idx="34">
                  <c:v>0.32232375223878135</c:v>
                </c:pt>
                <c:pt idx="35">
                  <c:v>0.32639312698309708</c:v>
                </c:pt>
                <c:pt idx="36">
                  <c:v>0.36172051960607426</c:v>
                </c:pt>
                <c:pt idx="37">
                  <c:v>0.40001857701034926</c:v>
                </c:pt>
                <c:pt idx="38">
                  <c:v>0.40715674587589584</c:v>
                </c:pt>
                <c:pt idx="39">
                  <c:v>0.34254065304930814</c:v>
                </c:pt>
                <c:pt idx="40">
                  <c:v>0.27107088762277731</c:v>
                </c:pt>
              </c:numCache>
            </c:numRef>
          </c:val>
          <c:smooth val="0"/>
        </c:ser>
        <c:ser>
          <c:idx val="35"/>
          <c:order val="35"/>
          <c:spPr>
            <a:ln w="127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Survivability'!$F$53:$BD$53</c15:sqref>
                  </c15:fullRef>
                </c:ext>
              </c:extLst>
              <c:f>'Portfolio Survivability'!$F$53:$AT$53</c:f>
              <c:numCache>
                <c:formatCode>"$"#,##0.00</c:formatCode>
                <c:ptCount val="41"/>
                <c:pt idx="0">
                  <c:v>1</c:v>
                </c:pt>
                <c:pt idx="1">
                  <c:v>1.1241950055839998</c:v>
                </c:pt>
                <c:pt idx="2">
                  <c:v>1.2206750454398012</c:v>
                </c:pt>
                <c:pt idx="3">
                  <c:v>1.2806556646686571</c:v>
                </c:pt>
                <c:pt idx="4">
                  <c:v>1.1172214265311879</c:v>
                </c:pt>
                <c:pt idx="5">
                  <c:v>1.2413446190834061</c:v>
                </c:pt>
                <c:pt idx="6">
                  <c:v>1.2598285640254216</c:v>
                </c:pt>
                <c:pt idx="7">
                  <c:v>1.0667708958752977</c:v>
                </c:pt>
                <c:pt idx="8">
                  <c:v>1.0300593819615547</c:v>
                </c:pt>
                <c:pt idx="9">
                  <c:v>1.0746528998264067</c:v>
                </c:pt>
                <c:pt idx="10">
                  <c:v>1.1595181663349787</c:v>
                </c:pt>
                <c:pt idx="11">
                  <c:v>0.93908593350942993</c:v>
                </c:pt>
                <c:pt idx="12">
                  <c:v>0.63884902575046276</c:v>
                </c:pt>
                <c:pt idx="13">
                  <c:v>0.71154504141471298</c:v>
                </c:pt>
                <c:pt idx="14">
                  <c:v>0.77548421207087748</c:v>
                </c:pt>
                <c:pt idx="15">
                  <c:v>0.65264538536514383</c:v>
                </c:pt>
                <c:pt idx="16">
                  <c:v>0.59643014160002272</c:v>
                </c:pt>
                <c:pt idx="17">
                  <c:v>0.56917508087130364</c:v>
                </c:pt>
                <c:pt idx="18">
                  <c:v>0.57317066169549247</c:v>
                </c:pt>
                <c:pt idx="19">
                  <c:v>0.46969546744979057</c:v>
                </c:pt>
                <c:pt idx="20">
                  <c:v>0.49742074301208411</c:v>
                </c:pt>
                <c:pt idx="21">
                  <c:v>0.52681627297580969</c:v>
                </c:pt>
                <c:pt idx="22">
                  <c:v>0.50345243181426347</c:v>
                </c:pt>
                <c:pt idx="23">
                  <c:v>0.58365534203095537</c:v>
                </c:pt>
                <c:pt idx="24">
                  <c:v>0.64022650588816676</c:v>
                </c:pt>
                <c:pt idx="25">
                  <c:v>0.60157127752547435</c:v>
                </c:pt>
                <c:pt idx="26">
                  <c:v>0.62064407483058714</c:v>
                </c:pt>
                <c:pt idx="27">
                  <c:v>0.7137464462272638</c:v>
                </c:pt>
                <c:pt idx="28">
                  <c:v>0.63139813487341956</c:v>
                </c:pt>
                <c:pt idx="29">
                  <c:v>0.72276608499139872</c:v>
                </c:pt>
                <c:pt idx="30">
                  <c:v>0.71624835105766849</c:v>
                </c:pt>
                <c:pt idx="31">
                  <c:v>0.72885763302483442</c:v>
                </c:pt>
                <c:pt idx="32">
                  <c:v>0.66904104365814865</c:v>
                </c:pt>
                <c:pt idx="33">
                  <c:v>0.82445393191849226</c:v>
                </c:pt>
                <c:pt idx="34">
                  <c:v>0.90322571562393816</c:v>
                </c:pt>
                <c:pt idx="35">
                  <c:v>1.0857217679117623</c:v>
                </c:pt>
                <c:pt idx="36">
                  <c:v>1.2952135694442088</c:v>
                </c:pt>
                <c:pt idx="37">
                  <c:v>1.41452536430187</c:v>
                </c:pt>
                <c:pt idx="38">
                  <c:v>1.2777849825650509</c:v>
                </c:pt>
                <c:pt idx="39">
                  <c:v>1.1040766264417963</c:v>
                </c:pt>
                <c:pt idx="40">
                  <c:v>0.89619793560579419</c:v>
                </c:pt>
              </c:numCache>
            </c:numRef>
          </c:val>
          <c:smooth val="0"/>
        </c:ser>
        <c:ser>
          <c:idx val="36"/>
          <c:order val="36"/>
          <c:spPr>
            <a:ln w="1270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Survivability'!$F$54:$BD$54</c15:sqref>
                  </c15:fullRef>
                </c:ext>
              </c:extLst>
              <c:f>'Portfolio Survivability'!$F$54:$AT$54</c:f>
              <c:numCache>
                <c:formatCode>"$"#,##0.00</c:formatCode>
                <c:ptCount val="41"/>
                <c:pt idx="0">
                  <c:v>1</c:v>
                </c:pt>
                <c:pt idx="1">
                  <c:v>1.0810779540120001</c:v>
                </c:pt>
                <c:pt idx="2">
                  <c:v>1.1294678602429078</c:v>
                </c:pt>
                <c:pt idx="3">
                  <c:v>0.98127270873150718</c:v>
                </c:pt>
                <c:pt idx="4">
                  <c:v>1.0849443797902483</c:v>
                </c:pt>
                <c:pt idx="5">
                  <c:v>1.096059815234407</c:v>
                </c:pt>
                <c:pt idx="6">
                  <c:v>0.92376201411790326</c:v>
                </c:pt>
                <c:pt idx="7">
                  <c:v>0.88684354633101381</c:v>
                </c:pt>
                <c:pt idx="8">
                  <c:v>0.91948240301964435</c:v>
                </c:pt>
                <c:pt idx="9">
                  <c:v>0.98592319645569171</c:v>
                </c:pt>
                <c:pt idx="10">
                  <c:v>0.79370293764264277</c:v>
                </c:pt>
                <c:pt idx="11">
                  <c:v>0.53575297128286536</c:v>
                </c:pt>
                <c:pt idx="12">
                  <c:v>0.58941467376084766</c:v>
                </c:pt>
                <c:pt idx="13">
                  <c:v>0.63482798665189155</c:v>
                </c:pt>
                <c:pt idx="14">
                  <c:v>0.52813622737742905</c:v>
                </c:pt>
                <c:pt idx="15">
                  <c:v>0.47557153236011196</c:v>
                </c:pt>
                <c:pt idx="16">
                  <c:v>0.44594685730933042</c:v>
                </c:pt>
                <c:pt idx="17">
                  <c:v>0.44014972534067398</c:v>
                </c:pt>
                <c:pt idx="18">
                  <c:v>0.35290526687361617</c:v>
                </c:pt>
                <c:pt idx="19">
                  <c:v>0.36278695719163184</c:v>
                </c:pt>
                <c:pt idx="20">
                  <c:v>0.3723649108763244</c:v>
                </c:pt>
                <c:pt idx="21">
                  <c:v>0.34431136724750699</c:v>
                </c:pt>
                <c:pt idx="22">
                  <c:v>0.38401418785433133</c:v>
                </c:pt>
                <c:pt idx="23">
                  <c:v>0.40589832405375526</c:v>
                </c:pt>
                <c:pt idx="24">
                  <c:v>0.36742028528903875</c:v>
                </c:pt>
                <c:pt idx="25">
                  <c:v>0.36268909603656208</c:v>
                </c:pt>
                <c:pt idx="26">
                  <c:v>0.39763978919857462</c:v>
                </c:pt>
                <c:pt idx="27">
                  <c:v>0.33594968009486936</c:v>
                </c:pt>
                <c:pt idx="28">
                  <c:v>0.36278497510032054</c:v>
                </c:pt>
                <c:pt idx="29">
                  <c:v>0.3396070274159434</c:v>
                </c:pt>
                <c:pt idx="30">
                  <c:v>0.32399284245254611</c:v>
                </c:pt>
                <c:pt idx="31">
                  <c:v>0.27684793802547453</c:v>
                </c:pt>
                <c:pt idx="32">
                  <c:v>0.3118919303480891</c:v>
                </c:pt>
                <c:pt idx="33">
                  <c:v>0.31440935251790458</c:v>
                </c:pt>
                <c:pt idx="34">
                  <c:v>0.34667929647986956</c:v>
                </c:pt>
                <c:pt idx="35">
                  <c:v>0.38142078086818892</c:v>
                </c:pt>
                <c:pt idx="36">
                  <c:v>0.38622852759513931</c:v>
                </c:pt>
                <c:pt idx="37">
                  <c:v>0.3231108265528978</c:v>
                </c:pt>
                <c:pt idx="38">
                  <c:v>0.25376508157298483</c:v>
                </c:pt>
                <c:pt idx="39">
                  <c:v>0.18124891408804431</c:v>
                </c:pt>
                <c:pt idx="40">
                  <c:v>0.17157347980655266</c:v>
                </c:pt>
              </c:numCache>
            </c:numRef>
          </c:val>
          <c:smooth val="0"/>
        </c:ser>
        <c:ser>
          <c:idx val="37"/>
          <c:order val="37"/>
          <c:spPr>
            <a:ln w="1270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Survivability'!$F$55:$BD$55</c15:sqref>
                  </c15:fullRef>
                </c:ext>
              </c:extLst>
              <c:f>'Portfolio Survivability'!$F$55:$AT$55</c:f>
              <c:numCache>
                <c:formatCode>"$"#,##0.00</c:formatCode>
                <c:ptCount val="41"/>
                <c:pt idx="0">
                  <c:v>1</c:v>
                </c:pt>
                <c:pt idx="1">
                  <c:v>1.0416580231680002</c:v>
                </c:pt>
                <c:pt idx="2">
                  <c:v>0.90231372916384434</c:v>
                </c:pt>
                <c:pt idx="3">
                  <c:v>0.9941071619142956</c:v>
                </c:pt>
                <c:pt idx="4">
                  <c:v>1.0009429689787097</c:v>
                </c:pt>
                <c:pt idx="5">
                  <c:v>0.84070249317917078</c:v>
                </c:pt>
                <c:pt idx="6">
                  <c:v>0.80366382663714997</c:v>
                </c:pt>
                <c:pt idx="7">
                  <c:v>0.82935941925658574</c:v>
                </c:pt>
                <c:pt idx="8">
                  <c:v>0.88509928357447809</c:v>
                </c:pt>
                <c:pt idx="9">
                  <c:v>0.70926453185314553</c:v>
                </c:pt>
                <c:pt idx="10">
                  <c:v>0.4758748099440549</c:v>
                </c:pt>
                <c:pt idx="11">
                  <c:v>0.5184813883260998</c:v>
                </c:pt>
                <c:pt idx="12">
                  <c:v>0.55313488789617504</c:v>
                </c:pt>
                <c:pt idx="13">
                  <c:v>0.4558213411419812</c:v>
                </c:pt>
                <c:pt idx="14">
                  <c:v>0.40537688387794207</c:v>
                </c:pt>
                <c:pt idx="15">
                  <c:v>0.3743759374516949</c:v>
                </c:pt>
                <c:pt idx="16">
                  <c:v>0.36289120046669998</c:v>
                </c:pt>
                <c:pt idx="17">
                  <c:v>0.28507354907407489</c:v>
                </c:pt>
                <c:pt idx="18">
                  <c:v>0.28459168977191102</c:v>
                </c:pt>
                <c:pt idx="19">
                  <c:v>0.28265960036224758</c:v>
                </c:pt>
                <c:pt idx="20">
                  <c:v>0.25188227877299868</c:v>
                </c:pt>
                <c:pt idx="21">
                  <c:v>0.26806265797874973</c:v>
                </c:pt>
                <c:pt idx="22">
                  <c:v>0.26980057763106458</c:v>
                </c:pt>
                <c:pt idx="23">
                  <c:v>0.23142545053828303</c:v>
                </c:pt>
                <c:pt idx="24">
                  <c:v>0.21286891214938336</c:v>
                </c:pt>
                <c:pt idx="25">
                  <c:v>0.21404512587627664</c:v>
                </c:pt>
                <c:pt idx="26">
                  <c:v>0.16435329521001019</c:v>
                </c:pt>
                <c:pt idx="27">
                  <c:v>0.15370804108674357</c:v>
                </c:pt>
                <c:pt idx="28">
                  <c:v>0.12085384563467093</c:v>
                </c:pt>
                <c:pt idx="29">
                  <c:v>8.8847478495766741E-2</c:v>
                </c:pt>
                <c:pt idx="30">
                  <c:v>4.9062285351218274E-2</c:v>
                </c:pt>
                <c:pt idx="31">
                  <c:v>1.4196054548862689E-2</c:v>
                </c:pt>
                <c:pt idx="32">
                  <c:v>-2.7575036419848448E-2</c:v>
                </c:pt>
                <c:pt idx="33">
                  <c:v>-8.2556376690730321E-2</c:v>
                </c:pt>
                <c:pt idx="34">
                  <c:v>-0.14930983057139202</c:v>
                </c:pt>
                <c:pt idx="35">
                  <c:v>-0.21100600490450988</c:v>
                </c:pt>
                <c:pt idx="36">
                  <c:v>-0.23136367234904306</c:v>
                </c:pt>
                <c:pt idx="37">
                  <c:v>-0.24009564020575305</c:v>
                </c:pt>
                <c:pt idx="38">
                  <c:v>-0.23399328970472366</c:v>
                </c:pt>
                <c:pt idx="39">
                  <c:v>-0.32646979665912557</c:v>
                </c:pt>
                <c:pt idx="40">
                  <c:v>-0.38849648243230045</c:v>
                </c:pt>
              </c:numCache>
            </c:numRef>
          </c:val>
          <c:smooth val="0"/>
        </c:ser>
        <c:ser>
          <c:idx val="38"/>
          <c:order val="38"/>
          <c:spPr>
            <a:ln w="1270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Survivability'!$F$56:$BD$56</c15:sqref>
                  </c15:fullRef>
                </c:ext>
              </c:extLst>
              <c:f>'Portfolio Survivability'!$F$56:$AT$56</c:f>
              <c:numCache>
                <c:formatCode>"$"#,##0.00</c:formatCode>
                <c:ptCount val="41"/>
                <c:pt idx="0">
                  <c:v>1</c:v>
                </c:pt>
                <c:pt idx="1">
                  <c:v>0.86485465726799982</c:v>
                </c:pt>
                <c:pt idx="2">
                  <c:v>0.95101291356071949</c:v>
                </c:pt>
                <c:pt idx="3">
                  <c:v>0.95581841440737181</c:v>
                </c:pt>
                <c:pt idx="4">
                  <c:v>0.80129807605632564</c:v>
                </c:pt>
                <c:pt idx="5">
                  <c:v>0.76420238580610989</c:v>
                </c:pt>
                <c:pt idx="6">
                  <c:v>0.78660401199659868</c:v>
                </c:pt>
                <c:pt idx="7">
                  <c:v>0.83726722923287833</c:v>
                </c:pt>
                <c:pt idx="8">
                  <c:v>0.66920595548148942</c:v>
                </c:pt>
                <c:pt idx="9">
                  <c:v>0.44746790343560161</c:v>
                </c:pt>
                <c:pt idx="10">
                  <c:v>0.4848298004578484</c:v>
                </c:pt>
                <c:pt idx="11">
                  <c:v>0.51437871758545894</c:v>
                </c:pt>
                <c:pt idx="12">
                  <c:v>0.42151430554621167</c:v>
                </c:pt>
                <c:pt idx="13">
                  <c:v>0.37207571409846341</c:v>
                </c:pt>
                <c:pt idx="14">
                  <c:v>0.34042184828693495</c:v>
                </c:pt>
                <c:pt idx="15">
                  <c:v>0.32623884434878597</c:v>
                </c:pt>
                <c:pt idx="16">
                  <c:v>0.25289338150118673</c:v>
                </c:pt>
                <c:pt idx="17">
                  <c:v>0.24749493193349409</c:v>
                </c:pt>
                <c:pt idx="18">
                  <c:v>0.24010234222156579</c:v>
                </c:pt>
                <c:pt idx="19">
                  <c:v>0.20803282821789137</c:v>
                </c:pt>
                <c:pt idx="20">
                  <c:v>0.21305388357684019</c:v>
                </c:pt>
                <c:pt idx="21">
                  <c:v>0.20523420030419939</c:v>
                </c:pt>
                <c:pt idx="22">
                  <c:v>0.16690789572329739</c:v>
                </c:pt>
                <c:pt idx="23">
                  <c:v>0.14179244851716019</c:v>
                </c:pt>
                <c:pt idx="24">
                  <c:v>0.12694565054440654</c:v>
                </c:pt>
                <c:pt idx="25">
                  <c:v>8.2945944790028481E-2</c:v>
                </c:pt>
                <c:pt idx="26">
                  <c:v>5.4519475760036337E-2</c:v>
                </c:pt>
                <c:pt idx="27">
                  <c:v>1.7074754153791429E-2</c:v>
                </c:pt>
                <c:pt idx="28">
                  <c:v>-2.2708257693595871E-2</c:v>
                </c:pt>
                <c:pt idx="29">
                  <c:v>-5.9001916935677405E-2</c:v>
                </c:pt>
                <c:pt idx="30">
                  <c:v>-0.12703438277085344</c:v>
                </c:pt>
                <c:pt idx="31">
                  <c:v>-0.18981646713005607</c:v>
                </c:pt>
                <c:pt idx="32">
                  <c:v>-0.28619084650780968</c:v>
                </c:pt>
                <c:pt idx="33">
                  <c:v>-0.40109469709444762</c:v>
                </c:pt>
                <c:pt idx="34">
                  <c:v>-0.49434111655465551</c:v>
                </c:pt>
                <c:pt idx="35">
                  <c:v>-0.4944129193442045</c:v>
                </c:pt>
                <c:pt idx="36">
                  <c:v>-0.47438899588153599</c:v>
                </c:pt>
                <c:pt idx="37">
                  <c:v>-0.43098909247764117</c:v>
                </c:pt>
                <c:pt idx="38">
                  <c:v>-0.56274740564699866</c:v>
                </c:pt>
                <c:pt idx="39">
                  <c:v>-0.6402119269529406</c:v>
                </c:pt>
                <c:pt idx="40">
                  <c:v>-0.68443017342989432</c:v>
                </c:pt>
              </c:numCache>
            </c:numRef>
          </c:val>
          <c:smooth val="0"/>
        </c:ser>
        <c:ser>
          <c:idx val="39"/>
          <c:order val="39"/>
          <c:spPr>
            <a:ln w="1270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Survivability'!$F$57:$BD$57</c15:sqref>
                  </c15:fullRef>
                </c:ext>
              </c:extLst>
              <c:f>'Portfolio Survivability'!$F$57:$AT$57</c:f>
              <c:numCache>
                <c:formatCode>"$"#,##0.00</c:formatCode>
                <c:ptCount val="41"/>
                <c:pt idx="0">
                  <c:v>1</c:v>
                </c:pt>
                <c:pt idx="1">
                  <c:v>1.1064889216079998</c:v>
                </c:pt>
                <c:pt idx="2">
                  <c:v>1.118619388497945</c:v>
                </c:pt>
                <c:pt idx="3">
                  <c:v>0.94346186142796329</c:v>
                </c:pt>
                <c:pt idx="4">
                  <c:v>0.90657190207811011</c:v>
                </c:pt>
                <c:pt idx="5">
                  <c:v>0.94085754459515214</c:v>
                </c:pt>
                <c:pt idx="6">
                  <c:v>1.0098363573614448</c:v>
                </c:pt>
                <c:pt idx="7">
                  <c:v>0.81372982537758365</c:v>
                </c:pt>
                <c:pt idx="8">
                  <c:v>0.54995472229527254</c:v>
                </c:pt>
                <c:pt idx="9">
                  <c:v>0.60623845117338737</c:v>
                </c:pt>
                <c:pt idx="10">
                  <c:v>0.65420374940111747</c:v>
                </c:pt>
                <c:pt idx="11">
                  <c:v>0.54528768937699312</c:v>
                </c:pt>
                <c:pt idx="12">
                  <c:v>0.49222012172655055</c:v>
                </c:pt>
                <c:pt idx="13">
                  <c:v>0.46292186724318213</c:v>
                </c:pt>
                <c:pt idx="14">
                  <c:v>0.45847370706145002</c:v>
                </c:pt>
                <c:pt idx="15">
                  <c:v>0.36899342231115728</c:v>
                </c:pt>
                <c:pt idx="16">
                  <c:v>0.38133311314254414</c:v>
                </c:pt>
                <c:pt idx="17">
                  <c:v>0.39364098976597212</c:v>
                </c:pt>
                <c:pt idx="18">
                  <c:v>0.36623346491164999</c:v>
                </c:pt>
                <c:pt idx="19">
                  <c:v>0.41151527873591404</c:v>
                </c:pt>
                <c:pt idx="20">
                  <c:v>0.43817764367260942</c:v>
                </c:pt>
                <c:pt idx="21">
                  <c:v>0.39967519657756995</c:v>
                </c:pt>
                <c:pt idx="22">
                  <c:v>0.39822306870081081</c:v>
                </c:pt>
                <c:pt idx="23">
                  <c:v>0.44118430755739091</c:v>
                </c:pt>
                <c:pt idx="24">
                  <c:v>0.37664847708990024</c:v>
                </c:pt>
                <c:pt idx="25">
                  <c:v>0.41237331403573391</c:v>
                </c:pt>
                <c:pt idx="26">
                  <c:v>0.39149035434795881</c:v>
                </c:pt>
                <c:pt idx="27">
                  <c:v>0.37976402573488133</c:v>
                </c:pt>
                <c:pt idx="28">
                  <c:v>0.3308735635815766</c:v>
                </c:pt>
                <c:pt idx="29">
                  <c:v>0.38249868598306574</c:v>
                </c:pt>
                <c:pt idx="30">
                  <c:v>0.39552034579545237</c:v>
                </c:pt>
                <c:pt idx="31">
                  <c:v>0.4484843288942621</c:v>
                </c:pt>
                <c:pt idx="32">
                  <c:v>0.50729812629432791</c:v>
                </c:pt>
                <c:pt idx="33">
                  <c:v>0.52787910498309043</c:v>
                </c:pt>
                <c:pt idx="34">
                  <c:v>0.45461968721376539</c:v>
                </c:pt>
                <c:pt idx="35">
                  <c:v>0.37089771972838081</c:v>
                </c:pt>
                <c:pt idx="36">
                  <c:v>0.27973501079265073</c:v>
                </c:pt>
                <c:pt idx="37">
                  <c:v>0.28969812571455145</c:v>
                </c:pt>
                <c:pt idx="38">
                  <c:v>0.26793043480305107</c:v>
                </c:pt>
                <c:pt idx="39">
                  <c:v>0.23176839186862369</c:v>
                </c:pt>
                <c:pt idx="40">
                  <c:v>0.21150800071758072</c:v>
                </c:pt>
              </c:numCache>
            </c:numRef>
          </c:val>
          <c:smooth val="0"/>
        </c:ser>
        <c:ser>
          <c:idx val="40"/>
          <c:order val="40"/>
          <c:spPr>
            <a:ln w="1270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Survivability'!$F$58:$BD$58</c15:sqref>
                  </c15:fullRef>
                </c:ext>
              </c:extLst>
              <c:f>'Portfolio Survivability'!$F$58:$AT$58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41"/>
          <c:order val="41"/>
          <c:spPr>
            <a:ln w="1270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Survivability'!$F$59:$BD$59</c15:sqref>
                  </c15:fullRef>
                </c:ext>
              </c:extLst>
              <c:f>'Portfolio Survivability'!$F$59:$AT$59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42"/>
          <c:order val="42"/>
          <c:spPr>
            <a:ln w="1270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Survivability'!$F$60:$BD$60</c15:sqref>
                  </c15:fullRef>
                </c:ext>
              </c:extLst>
              <c:f>'Portfolio Survivability'!$F$60:$AT$60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43"/>
          <c:order val="43"/>
          <c:spPr>
            <a:ln w="1270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Survivability'!$F$61:$BD$61</c15:sqref>
                  </c15:fullRef>
                </c:ext>
              </c:extLst>
              <c:f>'Portfolio Survivability'!$F$61:$AT$61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44"/>
          <c:order val="44"/>
          <c:spPr>
            <a:ln w="1270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Survivability'!$F$62:$BD$62</c15:sqref>
                  </c15:fullRef>
                </c:ext>
              </c:extLst>
              <c:f>'Portfolio Survivability'!$F$62:$AT$62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45"/>
          <c:order val="45"/>
          <c:spPr>
            <a:ln w="1270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Survivability'!$F$63:$BD$63</c15:sqref>
                  </c15:fullRef>
                </c:ext>
              </c:extLst>
              <c:f>'Portfolio Survivability'!$F$63:$AT$63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46"/>
          <c:order val="46"/>
          <c:spPr>
            <a:ln w="1270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Survivability'!$F$64:$BD$64</c15:sqref>
                  </c15:fullRef>
                </c:ext>
              </c:extLst>
              <c:f>'Portfolio Survivability'!$F$64:$AT$64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47"/>
          <c:order val="47"/>
          <c:spPr>
            <a:ln w="1270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Survivability'!$F$65:$BD$65</c15:sqref>
                  </c15:fullRef>
                </c:ext>
              </c:extLst>
              <c:f>'Portfolio Survivability'!$F$65:$AT$65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48"/>
          <c:order val="48"/>
          <c:spPr>
            <a:ln w="1270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Survivability'!$F$66:$BD$66</c15:sqref>
                  </c15:fullRef>
                </c:ext>
              </c:extLst>
              <c:f>'Portfolio Survivability'!$F$66:$AT$66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49"/>
          <c:order val="49"/>
          <c:spPr>
            <a:ln w="1270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Survivability'!$F$67:$BD$67</c15:sqref>
                  </c15:fullRef>
                </c:ext>
              </c:extLst>
              <c:f>'Portfolio Survivability'!$F$67:$AT$67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50"/>
          <c:order val="50"/>
          <c:spPr>
            <a:ln w="1270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Survivability'!$F$68:$BD$68</c15:sqref>
                  </c15:fullRef>
                </c:ext>
              </c:extLst>
              <c:f>'Portfolio Survivability'!$F$68:$AT$68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51"/>
          <c:order val="51"/>
          <c:spPr>
            <a:ln w="1270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Survivability'!$F$69:$BD$69</c15:sqref>
                  </c15:fullRef>
                </c:ext>
              </c:extLst>
              <c:f>'Portfolio Survivability'!$F$69:$AT$69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52"/>
          <c:order val="52"/>
          <c:spPr>
            <a:ln w="1270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Survivability'!$F$70:$BD$70</c15:sqref>
                  </c15:fullRef>
                </c:ext>
              </c:extLst>
              <c:f>'Portfolio Survivability'!$F$70:$AT$70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53"/>
          <c:order val="53"/>
          <c:spPr>
            <a:ln w="1270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Survivability'!$F$71:$BD$71</c15:sqref>
                  </c15:fullRef>
                </c:ext>
              </c:extLst>
              <c:f>'Portfolio Survivability'!$F$71:$AT$71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54"/>
          <c:order val="54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Survivability'!$F$72:$BD$72</c15:sqref>
                  </c15:fullRef>
                </c:ext>
              </c:extLst>
              <c:f>'Portfolio Survivability'!$F$72:$AT$72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55"/>
          <c:order val="55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Survivability'!$F$73:$BD$73</c15:sqref>
                  </c15:fullRef>
                </c:ext>
              </c:extLst>
              <c:f>'Portfolio Survivability'!$F$73:$AT$73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56"/>
          <c:order val="56"/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Survivability'!$F$74:$BD$74</c15:sqref>
                  </c15:fullRef>
                </c:ext>
              </c:extLst>
              <c:f>'Portfolio Survivability'!$F$74:$AT$74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57"/>
          <c:order val="57"/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Survivability'!$F$75:$BD$75</c15:sqref>
                  </c15:fullRef>
                </c:ext>
              </c:extLst>
              <c:f>'Portfolio Survivability'!$F$75:$AT$75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58"/>
          <c:order val="58"/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Survivability'!$F$76:$BD$76</c15:sqref>
                  </c15:fullRef>
                </c:ext>
              </c:extLst>
              <c:f>'Portfolio Survivability'!$F$76:$AT$76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59"/>
          <c:order val="59"/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Survivability'!$F$77:$BD$77</c15:sqref>
                  </c15:fullRef>
                </c:ext>
              </c:extLst>
              <c:f>'Portfolio Survivability'!$F$77:$AT$77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60"/>
          <c:order val="60"/>
          <c:spPr>
            <a:ln w="127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Survivability'!$F$78:$BD$78</c15:sqref>
                  </c15:fullRef>
                </c:ext>
              </c:extLst>
              <c:f>'Portfolio Survivability'!$F$78:$AT$78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61"/>
          <c:order val="61"/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Survivability'!$F$79:$BD$79</c15:sqref>
                  </c15:fullRef>
                </c:ext>
              </c:extLst>
              <c:f>'Portfolio Survivability'!$F$79:$AT$79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62"/>
          <c:order val="62"/>
          <c:spPr>
            <a:ln w="127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Survivability'!$F$80:$BD$80</c15:sqref>
                  </c15:fullRef>
                </c:ext>
              </c:extLst>
              <c:f>'Portfolio Survivability'!$F$80:$AT$80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63"/>
          <c:order val="63"/>
          <c:spPr>
            <a:ln w="127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Survivability'!$F$81:$BD$81</c15:sqref>
                  </c15:fullRef>
                </c:ext>
              </c:extLst>
              <c:f>'Portfolio Survivability'!$F$81:$AT$81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64"/>
          <c:order val="64"/>
          <c:spPr>
            <a:ln w="1270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Survivability'!$F$82:$BD$82</c15:sqref>
                  </c15:fullRef>
                </c:ext>
              </c:extLst>
              <c:f>'Portfolio Survivability'!$F$82:$AT$82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65"/>
          <c:order val="65"/>
          <c:spPr>
            <a:ln w="1270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Survivability'!$F$83:$BD$83</c15:sqref>
                  </c15:fullRef>
                </c:ext>
              </c:extLst>
              <c:f>'Portfolio Survivability'!$F$83:$AT$83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66"/>
          <c:order val="66"/>
          <c:spPr>
            <a:ln w="1270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Survivability'!$F$84:$BD$84</c15:sqref>
                  </c15:fullRef>
                </c:ext>
              </c:extLst>
              <c:f>'Portfolio Survivability'!$F$84:$AT$84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67"/>
          <c:order val="67"/>
          <c:spPr>
            <a:ln w="1270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Survivability'!$F$85:$BD$85</c15:sqref>
                  </c15:fullRef>
                </c:ext>
              </c:extLst>
              <c:f>'Portfolio Survivability'!$F$85:$AT$85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68"/>
          <c:order val="68"/>
          <c:spPr>
            <a:ln w="1270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Survivability'!$F$86:$BD$86</c15:sqref>
                  </c15:fullRef>
                </c:ext>
              </c:extLst>
              <c:f>'Portfolio Survivability'!$F$86:$AT$86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69"/>
          <c:order val="69"/>
          <c:spPr>
            <a:ln w="1270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Survivability'!$F$87:$BD$87</c15:sqref>
                  </c15:fullRef>
                </c:ext>
              </c:extLst>
              <c:f>'Portfolio Survivability'!$F$87:$AT$87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70"/>
          <c:order val="70"/>
          <c:spPr>
            <a:ln w="1270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Survivability'!$F$88:$BD$88</c15:sqref>
                  </c15:fullRef>
                </c:ext>
              </c:extLst>
              <c:f>'Portfolio Survivability'!$F$88:$AT$88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71"/>
          <c:order val="71"/>
          <c:spPr>
            <a:ln w="1270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Survivability'!$F$89:$BD$89</c15:sqref>
                  </c15:fullRef>
                </c:ext>
              </c:extLst>
              <c:f>'Portfolio Survivability'!$F$89:$AT$89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72"/>
          <c:order val="72"/>
          <c:spPr>
            <a:ln w="1270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Survivability'!$F$90:$BD$90</c15:sqref>
                  </c15:fullRef>
                </c:ext>
              </c:extLst>
              <c:f>'Portfolio Survivability'!$F$90:$AT$90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73"/>
          <c:order val="73"/>
          <c:spPr>
            <a:ln w="1270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Survivability'!$F$91:$BD$91</c15:sqref>
                  </c15:fullRef>
                </c:ext>
              </c:extLst>
              <c:f>'Portfolio Survivability'!$F$91:$AT$91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74"/>
          <c:order val="74"/>
          <c:spPr>
            <a:ln w="1270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Survivability'!$F$92:$BD$92</c15:sqref>
                  </c15:fullRef>
                </c:ext>
              </c:extLst>
              <c:f>'Portfolio Survivability'!$F$92:$AT$92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75"/>
          <c:order val="75"/>
          <c:spPr>
            <a:ln w="1270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Survivability'!$F$93:$BD$93</c15:sqref>
                  </c15:fullRef>
                </c:ext>
              </c:extLst>
              <c:f>'Portfolio Survivability'!$F$93:$AT$93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76"/>
          <c:order val="76"/>
          <c:spPr>
            <a:ln w="1270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Survivability'!$F$94:$BD$94</c15:sqref>
                  </c15:fullRef>
                </c:ext>
              </c:extLst>
              <c:f>'Portfolio Survivability'!$F$94:$AT$94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77"/>
          <c:order val="77"/>
          <c:spPr>
            <a:ln w="1270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Survivability'!$F$95:$BD$95</c15:sqref>
                  </c15:fullRef>
                </c:ext>
              </c:extLst>
              <c:f>'Portfolio Survivability'!$F$95:$AT$95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78"/>
          <c:order val="78"/>
          <c:spPr>
            <a:ln w="1270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Survivability'!$F$96:$BD$96</c15:sqref>
                  </c15:fullRef>
                </c:ext>
              </c:extLst>
              <c:f>'Portfolio Survivability'!$F$96:$AT$96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79"/>
          <c:order val="79"/>
          <c:spPr>
            <a:ln w="127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Survivability'!$F$97:$BD$97</c15:sqref>
                  </c15:fullRef>
                </c:ext>
              </c:extLst>
              <c:f>'Portfolio Survivability'!$F$97:$AT$97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80"/>
          <c:order val="80"/>
          <c:spPr>
            <a:ln w="1270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Survivability'!$F$98:$BD$98</c15:sqref>
                  </c15:fullRef>
                </c:ext>
              </c:extLst>
              <c:f>'Portfolio Survivability'!$F$98:$AT$98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81"/>
          <c:order val="81"/>
          <c:spPr>
            <a:ln w="1270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Survivability'!$F$99:$BD$99</c15:sqref>
                  </c15:fullRef>
                </c:ext>
              </c:extLst>
              <c:f>'Portfolio Survivability'!$F$99:$AT$99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82"/>
          <c:order val="82"/>
          <c:spPr>
            <a:ln w="1270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Survivability'!$F$100:$BD$100</c15:sqref>
                  </c15:fullRef>
                </c:ext>
              </c:extLst>
              <c:f>'Portfolio Survivability'!$F$100:$AT$100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83"/>
          <c:order val="83"/>
          <c:spPr>
            <a:ln w="1270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Survivability'!$F$101:$BD$101</c15:sqref>
                  </c15:fullRef>
                </c:ext>
              </c:extLst>
              <c:f>'Portfolio Survivability'!$F$101:$AT$101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84"/>
          <c:order val="84"/>
          <c:spPr>
            <a:ln w="127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Survivability'!$F$102:$BD$102</c15:sqref>
                  </c15:fullRef>
                </c:ext>
              </c:extLst>
              <c:f>'Portfolio Survivability'!$F$102:$AT$102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85"/>
          <c:order val="85"/>
          <c:spPr>
            <a:ln w="1270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Survivability'!$F$103:$BD$103</c15:sqref>
                  </c15:fullRef>
                </c:ext>
              </c:extLst>
              <c:f>'Portfolio Survivability'!$F$103:$AT$103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86"/>
          <c:order val="86"/>
          <c:spPr>
            <a:ln w="1270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Survivability'!$F$104:$BD$104</c15:sqref>
                  </c15:fullRef>
                </c:ext>
              </c:extLst>
              <c:f>'Portfolio Survivability'!$F$104:$AT$104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87"/>
          <c:order val="87"/>
          <c:spPr>
            <a:ln w="1270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Survivability'!$F$105:$BD$105</c15:sqref>
                  </c15:fullRef>
                </c:ext>
              </c:extLst>
              <c:f>'Portfolio Survivability'!$F$105:$AT$105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88"/>
          <c:order val="88"/>
          <c:spPr>
            <a:ln w="1270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$1.00</c:v>
              </c:pt>
              <c:pt idx="1">
                <c:v>$2.00</c:v>
              </c:pt>
              <c:pt idx="2">
                <c:v>$3.00</c:v>
              </c:pt>
              <c:pt idx="3">
                <c:v>$4.00</c:v>
              </c:pt>
              <c:pt idx="4">
                <c:v>$5.00</c:v>
              </c:pt>
              <c:pt idx="5">
                <c:v>$6.00</c:v>
              </c:pt>
              <c:pt idx="6">
                <c:v>$7.00</c:v>
              </c:pt>
              <c:pt idx="7">
                <c:v>$8.00</c:v>
              </c:pt>
              <c:pt idx="8">
                <c:v>$9.00</c:v>
              </c:pt>
              <c:pt idx="9">
                <c:v>$10.00</c:v>
              </c:pt>
              <c:pt idx="10">
                <c:v>$11.00</c:v>
              </c:pt>
              <c:pt idx="11">
                <c:v>$12.00</c:v>
              </c:pt>
              <c:pt idx="12">
                <c:v>$13.00</c:v>
              </c:pt>
              <c:pt idx="13">
                <c:v>$14.00</c:v>
              </c:pt>
              <c:pt idx="14">
                <c:v>$15.00</c:v>
              </c:pt>
              <c:pt idx="15">
                <c:v>$16.00</c:v>
              </c:pt>
              <c:pt idx="16">
                <c:v>$17.00</c:v>
              </c:pt>
              <c:pt idx="17">
                <c:v>$18.00</c:v>
              </c:pt>
              <c:pt idx="18">
                <c:v>$19.00</c:v>
              </c:pt>
              <c:pt idx="19">
                <c:v>$20.00</c:v>
              </c:pt>
              <c:pt idx="20">
                <c:v>$21.00</c:v>
              </c:pt>
              <c:pt idx="21">
                <c:v>$22.00</c:v>
              </c:pt>
              <c:pt idx="22">
                <c:v>$23.00</c:v>
              </c:pt>
              <c:pt idx="23">
                <c:v>$24.00</c:v>
              </c:pt>
              <c:pt idx="24">
                <c:v>$25.00</c:v>
              </c:pt>
              <c:pt idx="25">
                <c:v>$26.00</c:v>
              </c:pt>
              <c:pt idx="26">
                <c:v>$27.00</c:v>
              </c:pt>
              <c:pt idx="27">
                <c:v>$28.00</c:v>
              </c:pt>
              <c:pt idx="28">
                <c:v>$29.00</c:v>
              </c:pt>
              <c:pt idx="29">
                <c:v>$30.00</c:v>
              </c:pt>
              <c:pt idx="30">
                <c:v>$31.00</c:v>
              </c:pt>
              <c:pt idx="31">
                <c:v>$32.00</c:v>
              </c:pt>
              <c:pt idx="32">
                <c:v>$33.00</c:v>
              </c:pt>
              <c:pt idx="33">
                <c:v>$34.00</c:v>
              </c:pt>
              <c:pt idx="34">
                <c:v>$35.00</c:v>
              </c:pt>
              <c:pt idx="35">
                <c:v>$36.00</c:v>
              </c:pt>
              <c:pt idx="36">
                <c:v>$37.00</c:v>
              </c:pt>
              <c:pt idx="37">
                <c:v>$38.00</c:v>
              </c:pt>
              <c:pt idx="38">
                <c:v>$39.00</c:v>
              </c:pt>
              <c:pt idx="39">
                <c:v>$40.00</c:v>
              </c:pt>
              <c:pt idx="40">
                <c:v>$41.00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Survivability'!$F$106:$BD$106</c15:sqref>
                  </c15:fullRef>
                </c:ext>
              </c:extLst>
              <c:f>'Portfolio Survivability'!$F$106:$AT$106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ser>
          <c:idx val="89"/>
          <c:order val="89"/>
          <c:spPr>
            <a:ln w="127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4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'Portfolio Survivability'!$F$107:$BD$107</c15:sqref>
                  </c15:fullRef>
                </c:ext>
              </c:extLst>
              <c:f>'Portfolio Survivability'!$F$107:$AT$107</c:f>
              <c:numCache>
                <c:formatCode>General</c:formatCode>
                <c:ptCount val="41"/>
                <c:pt idx="0" formatCode="&quot;$&quot;#,##0.0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7228232"/>
        <c:axId val="562960968"/>
      </c:lineChart>
      <c:catAx>
        <c:axId val="557228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60968"/>
        <c:crosses val="autoZero"/>
        <c:auto val="1"/>
        <c:lblAlgn val="ctr"/>
        <c:lblOffset val="100"/>
        <c:noMultiLvlLbl val="0"/>
      </c:catAx>
      <c:valAx>
        <c:axId val="562960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</a:t>
                </a:r>
                <a:r>
                  <a:rPr lang="en-US" baseline="0"/>
                  <a:t> Balance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228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25% SR, Varying Stock Allocation</a:t>
            </a:r>
          </a:p>
        </c:rich>
      </c:tx>
      <c:layout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'Influence of Allocation'!$G$10</c:f>
              <c:strCache>
                <c:ptCount val="1"/>
                <c:pt idx="0">
                  <c:v>20%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'Influence of Allocation'!$A$17:$A$72</c:f>
              <c:numCache>
                <c:formatCode>General</c:formatCode>
                <c:ptCount val="5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</c:numCache>
            </c:numRef>
          </c:cat>
          <c:val>
            <c:numRef>
              <c:f>'Influence of Allocation'!$G$17:$G$72</c:f>
              <c:numCache>
                <c:formatCode>General</c:formatCode>
                <c:ptCount val="56"/>
                <c:pt idx="0">
                  <c:v>57</c:v>
                </c:pt>
                <c:pt idx="1">
                  <c:v>56</c:v>
                </c:pt>
                <c:pt idx="2">
                  <c:v>55</c:v>
                </c:pt>
                <c:pt idx="3">
                  <c:v>55</c:v>
                </c:pt>
                <c:pt idx="4">
                  <c:v>54</c:v>
                </c:pt>
                <c:pt idx="5">
                  <c:v>53</c:v>
                </c:pt>
                <c:pt idx="6">
                  <c:v>52</c:v>
                </c:pt>
                <c:pt idx="7">
                  <c:v>51</c:v>
                </c:pt>
                <c:pt idx="8">
                  <c:v>50</c:v>
                </c:pt>
                <c:pt idx="9">
                  <c:v>49</c:v>
                </c:pt>
                <c:pt idx="10">
                  <c:v>48</c:v>
                </c:pt>
                <c:pt idx="11">
                  <c:v>49</c:v>
                </c:pt>
                <c:pt idx="12">
                  <c:v>49</c:v>
                </c:pt>
                <c:pt idx="13">
                  <c:v>48</c:v>
                </c:pt>
                <c:pt idx="14">
                  <c:v>47</c:v>
                </c:pt>
                <c:pt idx="15">
                  <c:v>46</c:v>
                </c:pt>
                <c:pt idx="16">
                  <c:v>45</c:v>
                </c:pt>
                <c:pt idx="17">
                  <c:v>44</c:v>
                </c:pt>
                <c:pt idx="18">
                  <c:v>45</c:v>
                </c:pt>
                <c:pt idx="19">
                  <c:v>44</c:v>
                </c:pt>
                <c:pt idx="20">
                  <c:v>43</c:v>
                </c:pt>
                <c:pt idx="21">
                  <c:v>42</c:v>
                </c:pt>
                <c:pt idx="22">
                  <c:v>42</c:v>
                </c:pt>
                <c:pt idx="23">
                  <c:v>41</c:v>
                </c:pt>
                <c:pt idx="24">
                  <c:v>41</c:v>
                </c:pt>
                <c:pt idx="25">
                  <c:v>40</c:v>
                </c:pt>
                <c:pt idx="26">
                  <c:v>39</c:v>
                </c:pt>
                <c:pt idx="27">
                  <c:v>40</c:v>
                </c:pt>
                <c:pt idx="28">
                  <c:v>39</c:v>
                </c:pt>
                <c:pt idx="29">
                  <c:v>38</c:v>
                </c:pt>
                <c:pt idx="30">
                  <c:v>37</c:v>
                </c:pt>
                <c:pt idx="31">
                  <c:v>37</c:v>
                </c:pt>
                <c:pt idx="32">
                  <c:v>36</c:v>
                </c:pt>
                <c:pt idx="33">
                  <c:v>36</c:v>
                </c:pt>
                <c:pt idx="34">
                  <c:v>35</c:v>
                </c:pt>
                <c:pt idx="35">
                  <c:v>34</c:v>
                </c:pt>
                <c:pt idx="36">
                  <c:v>34</c:v>
                </c:pt>
                <c:pt idx="37">
                  <c:v>33</c:v>
                </c:pt>
                <c:pt idx="38">
                  <c:v>32</c:v>
                </c:pt>
                <c:pt idx="39">
                  <c:v>31</c:v>
                </c:pt>
                <c:pt idx="40">
                  <c:v>30</c:v>
                </c:pt>
                <c:pt idx="41">
                  <c:v>31</c:v>
                </c:pt>
                <c:pt idx="42">
                  <c:v>30</c:v>
                </c:pt>
                <c:pt idx="43">
                  <c:v>31</c:v>
                </c:pt>
                <c:pt idx="44">
                  <c:v>30</c:v>
                </c:pt>
                <c:pt idx="45">
                  <c:v>30</c:v>
                </c:pt>
                <c:pt idx="46">
                  <c:v>30</c:v>
                </c:pt>
                <c:pt idx="47">
                  <c:v>31</c:v>
                </c:pt>
                <c:pt idx="48">
                  <c:v>31</c:v>
                </c:pt>
                <c:pt idx="49">
                  <c:v>31</c:v>
                </c:pt>
                <c:pt idx="50">
                  <c:v>32</c:v>
                </c:pt>
                <c:pt idx="51">
                  <c:v>32</c:v>
                </c:pt>
                <c:pt idx="52">
                  <c:v>31</c:v>
                </c:pt>
                <c:pt idx="53">
                  <c:v>33</c:v>
                </c:pt>
                <c:pt idx="54">
                  <c:v>33</c:v>
                </c:pt>
                <c:pt idx="55">
                  <c:v>34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'Influence of Allocation'!$H$10</c:f>
              <c:strCache>
                <c:ptCount val="1"/>
                <c:pt idx="0">
                  <c:v>40%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FFC000"/>
                </a:solidFill>
              </a:ln>
              <a:effectLst/>
            </c:spPr>
          </c:marker>
          <c:cat>
            <c:numRef>
              <c:f>'Influence of Allocation'!$A$17:$A$72</c:f>
              <c:numCache>
                <c:formatCode>General</c:formatCode>
                <c:ptCount val="5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</c:numCache>
            </c:numRef>
          </c:cat>
          <c:val>
            <c:numRef>
              <c:f>'Influence of Allocation'!$H$17:$H$72</c:f>
              <c:numCache>
                <c:formatCode>General</c:formatCode>
                <c:ptCount val="56"/>
                <c:pt idx="0">
                  <c:v>35</c:v>
                </c:pt>
                <c:pt idx="1">
                  <c:v>35</c:v>
                </c:pt>
                <c:pt idx="2">
                  <c:v>34</c:v>
                </c:pt>
                <c:pt idx="3">
                  <c:v>34</c:v>
                </c:pt>
                <c:pt idx="4">
                  <c:v>36</c:v>
                </c:pt>
                <c:pt idx="5">
                  <c:v>39</c:v>
                </c:pt>
                <c:pt idx="6">
                  <c:v>38</c:v>
                </c:pt>
                <c:pt idx="7">
                  <c:v>49</c:v>
                </c:pt>
                <c:pt idx="8">
                  <c:v>49</c:v>
                </c:pt>
                <c:pt idx="9">
                  <c:v>48</c:v>
                </c:pt>
                <c:pt idx="10">
                  <c:v>47</c:v>
                </c:pt>
                <c:pt idx="11">
                  <c:v>46</c:v>
                </c:pt>
                <c:pt idx="12">
                  <c:v>45</c:v>
                </c:pt>
                <c:pt idx="13">
                  <c:v>44</c:v>
                </c:pt>
                <c:pt idx="14">
                  <c:v>43</c:v>
                </c:pt>
                <c:pt idx="15">
                  <c:v>43</c:v>
                </c:pt>
                <c:pt idx="16">
                  <c:v>42</c:v>
                </c:pt>
                <c:pt idx="17">
                  <c:v>41</c:v>
                </c:pt>
                <c:pt idx="18">
                  <c:v>40</c:v>
                </c:pt>
                <c:pt idx="19">
                  <c:v>41</c:v>
                </c:pt>
                <c:pt idx="20">
                  <c:v>41</c:v>
                </c:pt>
                <c:pt idx="21">
                  <c:v>40</c:v>
                </c:pt>
                <c:pt idx="22">
                  <c:v>39</c:v>
                </c:pt>
                <c:pt idx="23">
                  <c:v>38</c:v>
                </c:pt>
                <c:pt idx="24">
                  <c:v>39</c:v>
                </c:pt>
                <c:pt idx="25">
                  <c:v>38</c:v>
                </c:pt>
                <c:pt idx="26">
                  <c:v>37</c:v>
                </c:pt>
                <c:pt idx="27">
                  <c:v>37</c:v>
                </c:pt>
                <c:pt idx="28">
                  <c:v>37</c:v>
                </c:pt>
                <c:pt idx="29">
                  <c:v>36</c:v>
                </c:pt>
                <c:pt idx="30">
                  <c:v>35</c:v>
                </c:pt>
                <c:pt idx="31">
                  <c:v>36</c:v>
                </c:pt>
                <c:pt idx="32">
                  <c:v>35</c:v>
                </c:pt>
                <c:pt idx="33">
                  <c:v>34</c:v>
                </c:pt>
                <c:pt idx="34">
                  <c:v>33</c:v>
                </c:pt>
                <c:pt idx="35">
                  <c:v>32</c:v>
                </c:pt>
                <c:pt idx="36">
                  <c:v>32</c:v>
                </c:pt>
                <c:pt idx="37">
                  <c:v>31</c:v>
                </c:pt>
                <c:pt idx="38">
                  <c:v>31</c:v>
                </c:pt>
                <c:pt idx="39">
                  <c:v>30</c:v>
                </c:pt>
                <c:pt idx="40">
                  <c:v>29</c:v>
                </c:pt>
                <c:pt idx="41">
                  <c:v>28</c:v>
                </c:pt>
                <c:pt idx="42">
                  <c:v>28</c:v>
                </c:pt>
                <c:pt idx="43">
                  <c:v>27</c:v>
                </c:pt>
                <c:pt idx="44">
                  <c:v>26</c:v>
                </c:pt>
                <c:pt idx="45">
                  <c:v>25</c:v>
                </c:pt>
                <c:pt idx="46">
                  <c:v>25</c:v>
                </c:pt>
                <c:pt idx="47">
                  <c:v>28</c:v>
                </c:pt>
                <c:pt idx="48">
                  <c:v>27</c:v>
                </c:pt>
                <c:pt idx="49">
                  <c:v>27</c:v>
                </c:pt>
                <c:pt idx="50">
                  <c:v>28</c:v>
                </c:pt>
                <c:pt idx="51">
                  <c:v>28</c:v>
                </c:pt>
                <c:pt idx="52">
                  <c:v>30</c:v>
                </c:pt>
                <c:pt idx="53">
                  <c:v>30</c:v>
                </c:pt>
                <c:pt idx="54">
                  <c:v>31</c:v>
                </c:pt>
                <c:pt idx="55">
                  <c:v>31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'Influence of Allocation'!$I$10</c:f>
              <c:strCache>
                <c:ptCount val="1"/>
                <c:pt idx="0">
                  <c:v>60%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FF00"/>
                </a:solidFill>
              </a:ln>
              <a:effectLst/>
            </c:spPr>
          </c:marker>
          <c:cat>
            <c:numRef>
              <c:f>'Influence of Allocation'!$A$17:$A$72</c:f>
              <c:numCache>
                <c:formatCode>General</c:formatCode>
                <c:ptCount val="5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</c:numCache>
            </c:numRef>
          </c:cat>
          <c:val>
            <c:numRef>
              <c:f>'Influence of Allocation'!$I$17:$I$72</c:f>
              <c:numCache>
                <c:formatCode>General</c:formatCode>
                <c:ptCount val="56"/>
                <c:pt idx="0">
                  <c:v>30</c:v>
                </c:pt>
                <c:pt idx="1">
                  <c:v>29</c:v>
                </c:pt>
                <c:pt idx="2">
                  <c:v>29</c:v>
                </c:pt>
                <c:pt idx="3">
                  <c:v>29</c:v>
                </c:pt>
                <c:pt idx="4">
                  <c:v>29</c:v>
                </c:pt>
                <c:pt idx="5">
                  <c:v>28</c:v>
                </c:pt>
                <c:pt idx="6">
                  <c:v>29</c:v>
                </c:pt>
                <c:pt idx="7">
                  <c:v>28</c:v>
                </c:pt>
                <c:pt idx="8">
                  <c:v>28</c:v>
                </c:pt>
                <c:pt idx="9">
                  <c:v>27</c:v>
                </c:pt>
                <c:pt idx="10">
                  <c:v>27</c:v>
                </c:pt>
                <c:pt idx="11">
                  <c:v>28</c:v>
                </c:pt>
                <c:pt idx="12">
                  <c:v>28</c:v>
                </c:pt>
                <c:pt idx="13">
                  <c:v>31</c:v>
                </c:pt>
                <c:pt idx="14">
                  <c:v>41</c:v>
                </c:pt>
                <c:pt idx="15">
                  <c:v>41</c:v>
                </c:pt>
                <c:pt idx="16">
                  <c:v>41</c:v>
                </c:pt>
                <c:pt idx="17">
                  <c:v>40</c:v>
                </c:pt>
                <c:pt idx="18">
                  <c:v>39</c:v>
                </c:pt>
                <c:pt idx="19">
                  <c:v>38</c:v>
                </c:pt>
                <c:pt idx="20">
                  <c:v>38</c:v>
                </c:pt>
                <c:pt idx="21">
                  <c:v>37</c:v>
                </c:pt>
                <c:pt idx="22">
                  <c:v>38</c:v>
                </c:pt>
                <c:pt idx="23">
                  <c:v>37</c:v>
                </c:pt>
                <c:pt idx="24">
                  <c:v>37</c:v>
                </c:pt>
                <c:pt idx="25">
                  <c:v>36</c:v>
                </c:pt>
                <c:pt idx="26">
                  <c:v>35</c:v>
                </c:pt>
                <c:pt idx="27">
                  <c:v>36</c:v>
                </c:pt>
                <c:pt idx="28">
                  <c:v>35</c:v>
                </c:pt>
                <c:pt idx="29">
                  <c:v>34</c:v>
                </c:pt>
                <c:pt idx="30">
                  <c:v>34</c:v>
                </c:pt>
                <c:pt idx="31">
                  <c:v>34</c:v>
                </c:pt>
                <c:pt idx="32">
                  <c:v>33</c:v>
                </c:pt>
                <c:pt idx="33">
                  <c:v>34</c:v>
                </c:pt>
                <c:pt idx="34">
                  <c:v>33</c:v>
                </c:pt>
                <c:pt idx="35">
                  <c:v>32</c:v>
                </c:pt>
                <c:pt idx="36">
                  <c:v>31</c:v>
                </c:pt>
                <c:pt idx="37">
                  <c:v>30</c:v>
                </c:pt>
                <c:pt idx="38">
                  <c:v>29</c:v>
                </c:pt>
                <c:pt idx="39">
                  <c:v>29</c:v>
                </c:pt>
                <c:pt idx="40">
                  <c:v>28</c:v>
                </c:pt>
                <c:pt idx="41">
                  <c:v>27</c:v>
                </c:pt>
                <c:pt idx="42">
                  <c:v>27</c:v>
                </c:pt>
                <c:pt idx="43">
                  <c:v>26</c:v>
                </c:pt>
                <c:pt idx="44">
                  <c:v>25</c:v>
                </c:pt>
                <c:pt idx="45">
                  <c:v>24</c:v>
                </c:pt>
                <c:pt idx="46">
                  <c:v>24</c:v>
                </c:pt>
                <c:pt idx="47">
                  <c:v>23</c:v>
                </c:pt>
                <c:pt idx="48">
                  <c:v>22</c:v>
                </c:pt>
                <c:pt idx="49">
                  <c:v>22</c:v>
                </c:pt>
                <c:pt idx="50">
                  <c:v>26</c:v>
                </c:pt>
                <c:pt idx="51">
                  <c:v>27</c:v>
                </c:pt>
                <c:pt idx="52">
                  <c:v>27</c:v>
                </c:pt>
                <c:pt idx="53">
                  <c:v>29</c:v>
                </c:pt>
                <c:pt idx="54">
                  <c:v>30</c:v>
                </c:pt>
                <c:pt idx="55">
                  <c:v>30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'Influence of Allocation'!$J$10</c:f>
              <c:strCache>
                <c:ptCount val="1"/>
                <c:pt idx="0">
                  <c:v>80%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'Influence of Allocation'!$A$17:$A$72</c:f>
              <c:numCache>
                <c:formatCode>General</c:formatCode>
                <c:ptCount val="5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</c:numCache>
            </c:numRef>
          </c:cat>
          <c:val>
            <c:numRef>
              <c:f>'Influence of Allocation'!$J$17:$J$72</c:f>
              <c:numCache>
                <c:formatCode>General</c:formatCode>
                <c:ptCount val="56"/>
                <c:pt idx="0">
                  <c:v>27</c:v>
                </c:pt>
                <c:pt idx="1">
                  <c:v>26</c:v>
                </c:pt>
                <c:pt idx="2">
                  <c:v>25</c:v>
                </c:pt>
                <c:pt idx="3">
                  <c:v>24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24</c:v>
                </c:pt>
                <c:pt idx="8">
                  <c:v>25</c:v>
                </c:pt>
                <c:pt idx="9">
                  <c:v>24</c:v>
                </c:pt>
                <c:pt idx="10">
                  <c:v>23</c:v>
                </c:pt>
                <c:pt idx="11">
                  <c:v>22</c:v>
                </c:pt>
                <c:pt idx="12">
                  <c:v>23</c:v>
                </c:pt>
                <c:pt idx="13">
                  <c:v>23</c:v>
                </c:pt>
                <c:pt idx="14">
                  <c:v>22</c:v>
                </c:pt>
                <c:pt idx="15">
                  <c:v>22</c:v>
                </c:pt>
                <c:pt idx="16">
                  <c:v>24</c:v>
                </c:pt>
                <c:pt idx="17">
                  <c:v>27</c:v>
                </c:pt>
                <c:pt idx="18">
                  <c:v>26</c:v>
                </c:pt>
                <c:pt idx="19">
                  <c:v>37</c:v>
                </c:pt>
                <c:pt idx="20">
                  <c:v>37</c:v>
                </c:pt>
                <c:pt idx="21">
                  <c:v>36</c:v>
                </c:pt>
                <c:pt idx="22">
                  <c:v>36</c:v>
                </c:pt>
                <c:pt idx="23">
                  <c:v>35</c:v>
                </c:pt>
                <c:pt idx="24">
                  <c:v>35</c:v>
                </c:pt>
                <c:pt idx="25">
                  <c:v>35</c:v>
                </c:pt>
                <c:pt idx="26">
                  <c:v>35</c:v>
                </c:pt>
                <c:pt idx="27">
                  <c:v>34</c:v>
                </c:pt>
                <c:pt idx="28">
                  <c:v>33</c:v>
                </c:pt>
                <c:pt idx="29">
                  <c:v>34</c:v>
                </c:pt>
                <c:pt idx="30">
                  <c:v>33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31</c:v>
                </c:pt>
                <c:pt idx="35">
                  <c:v>32</c:v>
                </c:pt>
                <c:pt idx="36">
                  <c:v>31</c:v>
                </c:pt>
                <c:pt idx="37">
                  <c:v>30</c:v>
                </c:pt>
                <c:pt idx="38">
                  <c:v>29</c:v>
                </c:pt>
                <c:pt idx="39">
                  <c:v>28</c:v>
                </c:pt>
                <c:pt idx="40">
                  <c:v>27</c:v>
                </c:pt>
                <c:pt idx="41">
                  <c:v>26</c:v>
                </c:pt>
                <c:pt idx="42">
                  <c:v>26</c:v>
                </c:pt>
                <c:pt idx="43">
                  <c:v>25</c:v>
                </c:pt>
                <c:pt idx="44">
                  <c:v>24</c:v>
                </c:pt>
                <c:pt idx="45">
                  <c:v>24</c:v>
                </c:pt>
                <c:pt idx="46">
                  <c:v>23</c:v>
                </c:pt>
                <c:pt idx="47">
                  <c:v>22</c:v>
                </c:pt>
                <c:pt idx="48">
                  <c:v>21</c:v>
                </c:pt>
                <c:pt idx="49">
                  <c:v>21</c:v>
                </c:pt>
                <c:pt idx="50">
                  <c:v>20</c:v>
                </c:pt>
                <c:pt idx="51">
                  <c:v>20</c:v>
                </c:pt>
                <c:pt idx="52">
                  <c:v>19</c:v>
                </c:pt>
                <c:pt idx="53">
                  <c:v>25</c:v>
                </c:pt>
                <c:pt idx="54">
                  <c:v>30</c:v>
                </c:pt>
                <c:pt idx="55">
                  <c:v>30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'Influence of Allocation'!$K$10</c:f>
              <c:strCache>
                <c:ptCount val="1"/>
                <c:pt idx="0">
                  <c:v>100%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'Influence of Allocation'!$A$17:$A$72</c:f>
              <c:numCache>
                <c:formatCode>General</c:formatCode>
                <c:ptCount val="5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</c:numCache>
            </c:numRef>
          </c:cat>
          <c:val>
            <c:numRef>
              <c:f>'Influence of Allocation'!$K$17:$K$72</c:f>
              <c:numCache>
                <c:formatCode>General</c:formatCode>
                <c:ptCount val="56"/>
                <c:pt idx="0">
                  <c:v>26</c:v>
                </c:pt>
                <c:pt idx="1">
                  <c:v>25</c:v>
                </c:pt>
                <c:pt idx="2">
                  <c:v>24</c:v>
                </c:pt>
                <c:pt idx="3">
                  <c:v>23</c:v>
                </c:pt>
                <c:pt idx="4">
                  <c:v>23</c:v>
                </c:pt>
                <c:pt idx="5">
                  <c:v>22</c:v>
                </c:pt>
                <c:pt idx="6">
                  <c:v>21</c:v>
                </c:pt>
                <c:pt idx="7">
                  <c:v>21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20</c:v>
                </c:pt>
                <c:pt idx="12">
                  <c:v>19</c:v>
                </c:pt>
                <c:pt idx="13">
                  <c:v>20</c:v>
                </c:pt>
                <c:pt idx="14">
                  <c:v>19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19</c:v>
                </c:pt>
                <c:pt idx="19">
                  <c:v>21</c:v>
                </c:pt>
                <c:pt idx="20">
                  <c:v>24</c:v>
                </c:pt>
                <c:pt idx="21">
                  <c:v>35</c:v>
                </c:pt>
                <c:pt idx="22">
                  <c:v>35</c:v>
                </c:pt>
                <c:pt idx="23">
                  <c:v>34</c:v>
                </c:pt>
                <c:pt idx="24">
                  <c:v>34</c:v>
                </c:pt>
                <c:pt idx="25">
                  <c:v>33</c:v>
                </c:pt>
                <c:pt idx="26">
                  <c:v>34</c:v>
                </c:pt>
                <c:pt idx="27">
                  <c:v>34</c:v>
                </c:pt>
                <c:pt idx="28">
                  <c:v>33</c:v>
                </c:pt>
                <c:pt idx="29">
                  <c:v>32</c:v>
                </c:pt>
                <c:pt idx="30">
                  <c:v>31</c:v>
                </c:pt>
                <c:pt idx="31">
                  <c:v>32</c:v>
                </c:pt>
                <c:pt idx="32">
                  <c:v>31</c:v>
                </c:pt>
                <c:pt idx="33">
                  <c:v>30</c:v>
                </c:pt>
                <c:pt idx="34">
                  <c:v>30</c:v>
                </c:pt>
                <c:pt idx="35">
                  <c:v>30</c:v>
                </c:pt>
                <c:pt idx="36">
                  <c:v>29</c:v>
                </c:pt>
                <c:pt idx="37">
                  <c:v>30</c:v>
                </c:pt>
                <c:pt idx="38">
                  <c:v>29</c:v>
                </c:pt>
                <c:pt idx="39">
                  <c:v>28</c:v>
                </c:pt>
                <c:pt idx="40">
                  <c:v>27</c:v>
                </c:pt>
                <c:pt idx="41">
                  <c:v>26</c:v>
                </c:pt>
                <c:pt idx="42">
                  <c:v>25</c:v>
                </c:pt>
                <c:pt idx="43">
                  <c:v>24</c:v>
                </c:pt>
                <c:pt idx="44">
                  <c:v>24</c:v>
                </c:pt>
                <c:pt idx="45">
                  <c:v>23</c:v>
                </c:pt>
                <c:pt idx="46">
                  <c:v>22</c:v>
                </c:pt>
                <c:pt idx="47">
                  <c:v>22</c:v>
                </c:pt>
                <c:pt idx="48">
                  <c:v>21</c:v>
                </c:pt>
                <c:pt idx="49">
                  <c:v>20</c:v>
                </c:pt>
                <c:pt idx="50">
                  <c:v>19</c:v>
                </c:pt>
                <c:pt idx="51">
                  <c:v>19</c:v>
                </c:pt>
                <c:pt idx="52">
                  <c:v>18</c:v>
                </c:pt>
                <c:pt idx="53">
                  <c:v>18</c:v>
                </c:pt>
                <c:pt idx="54">
                  <c:v>25</c:v>
                </c:pt>
                <c:pt idx="55">
                  <c:v>30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150032"/>
        <c:axId val="515126608"/>
      </c:lineChart>
      <c:catAx>
        <c:axId val="506150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26608"/>
        <c:crosses val="autoZero"/>
        <c:auto val="1"/>
        <c:lblAlgn val="ctr"/>
        <c:lblOffset val="100"/>
        <c:noMultiLvlLbl val="0"/>
      </c:catAx>
      <c:valAx>
        <c:axId val="51512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 to FI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150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50% SR, Varying Stock Allocation</a:t>
            </a:r>
          </a:p>
        </c:rich>
      </c:tx>
      <c:layout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'Influence of Allocation'!$L$10</c:f>
              <c:strCache>
                <c:ptCount val="1"/>
                <c:pt idx="0">
                  <c:v>20%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'Influence of Allocation'!$A$17:$A$72</c:f>
              <c:numCache>
                <c:formatCode>General</c:formatCode>
                <c:ptCount val="5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</c:numCache>
            </c:numRef>
          </c:cat>
          <c:val>
            <c:numRef>
              <c:f>'Influence of Allocation'!$L$17:$L$72</c:f>
              <c:numCache>
                <c:formatCode>General</c:formatCode>
                <c:ptCount val="56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23</c:v>
                </c:pt>
                <c:pt idx="4">
                  <c:v>23</c:v>
                </c:pt>
                <c:pt idx="5">
                  <c:v>22</c:v>
                </c:pt>
                <c:pt idx="6">
                  <c:v>23</c:v>
                </c:pt>
                <c:pt idx="7">
                  <c:v>23</c:v>
                </c:pt>
                <c:pt idx="8">
                  <c:v>22</c:v>
                </c:pt>
                <c:pt idx="9">
                  <c:v>22</c:v>
                </c:pt>
                <c:pt idx="10">
                  <c:v>22</c:v>
                </c:pt>
                <c:pt idx="11">
                  <c:v>21</c:v>
                </c:pt>
                <c:pt idx="12">
                  <c:v>21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19</c:v>
                </c:pt>
                <c:pt idx="17">
                  <c:v>19</c:v>
                </c:pt>
                <c:pt idx="18">
                  <c:v>19</c:v>
                </c:pt>
                <c:pt idx="19">
                  <c:v>19</c:v>
                </c:pt>
                <c:pt idx="20">
                  <c:v>20</c:v>
                </c:pt>
                <c:pt idx="21">
                  <c:v>22</c:v>
                </c:pt>
                <c:pt idx="22">
                  <c:v>21</c:v>
                </c:pt>
                <c:pt idx="23">
                  <c:v>21</c:v>
                </c:pt>
                <c:pt idx="24">
                  <c:v>24</c:v>
                </c:pt>
                <c:pt idx="25">
                  <c:v>29</c:v>
                </c:pt>
                <c:pt idx="26">
                  <c:v>28</c:v>
                </c:pt>
                <c:pt idx="27">
                  <c:v>28</c:v>
                </c:pt>
                <c:pt idx="28">
                  <c:v>28</c:v>
                </c:pt>
                <c:pt idx="29">
                  <c:v>27</c:v>
                </c:pt>
                <c:pt idx="30">
                  <c:v>26</c:v>
                </c:pt>
                <c:pt idx="31">
                  <c:v>26</c:v>
                </c:pt>
                <c:pt idx="32">
                  <c:v>25</c:v>
                </c:pt>
                <c:pt idx="33">
                  <c:v>24</c:v>
                </c:pt>
                <c:pt idx="34">
                  <c:v>23</c:v>
                </c:pt>
                <c:pt idx="35">
                  <c:v>22</c:v>
                </c:pt>
                <c:pt idx="36">
                  <c:v>21</c:v>
                </c:pt>
                <c:pt idx="37">
                  <c:v>21</c:v>
                </c:pt>
                <c:pt idx="38">
                  <c:v>20</c:v>
                </c:pt>
                <c:pt idx="39">
                  <c:v>19</c:v>
                </c:pt>
                <c:pt idx="40">
                  <c:v>18</c:v>
                </c:pt>
                <c:pt idx="41">
                  <c:v>17</c:v>
                </c:pt>
                <c:pt idx="42">
                  <c:v>18</c:v>
                </c:pt>
                <c:pt idx="43">
                  <c:v>18</c:v>
                </c:pt>
                <c:pt idx="44">
                  <c:v>17</c:v>
                </c:pt>
                <c:pt idx="45">
                  <c:v>16</c:v>
                </c:pt>
                <c:pt idx="46">
                  <c:v>16</c:v>
                </c:pt>
                <c:pt idx="47">
                  <c:v>16</c:v>
                </c:pt>
                <c:pt idx="48">
                  <c:v>15</c:v>
                </c:pt>
                <c:pt idx="49">
                  <c:v>15</c:v>
                </c:pt>
                <c:pt idx="50">
                  <c:v>15</c:v>
                </c:pt>
                <c:pt idx="51">
                  <c:v>14</c:v>
                </c:pt>
                <c:pt idx="52">
                  <c:v>15</c:v>
                </c:pt>
                <c:pt idx="53">
                  <c:v>14</c:v>
                </c:pt>
                <c:pt idx="54">
                  <c:v>15</c:v>
                </c:pt>
                <c:pt idx="55">
                  <c:v>15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'Influence of Allocation'!$M$10</c:f>
              <c:strCache>
                <c:ptCount val="1"/>
                <c:pt idx="0">
                  <c:v>40%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FFC000"/>
                </a:solidFill>
              </a:ln>
              <a:effectLst/>
            </c:spPr>
          </c:marker>
          <c:cat>
            <c:numRef>
              <c:f>'Influence of Allocation'!$A$17:$A$72</c:f>
              <c:numCache>
                <c:formatCode>General</c:formatCode>
                <c:ptCount val="5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</c:numCache>
            </c:numRef>
          </c:cat>
          <c:val>
            <c:numRef>
              <c:f>'Influence of Allocation'!$M$17:$M$72</c:f>
              <c:numCache>
                <c:formatCode>General</c:formatCode>
                <c:ptCount val="56"/>
                <c:pt idx="0">
                  <c:v>22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20</c:v>
                </c:pt>
                <c:pt idx="7">
                  <c:v>19</c:v>
                </c:pt>
                <c:pt idx="8">
                  <c:v>18</c:v>
                </c:pt>
                <c:pt idx="9">
                  <c:v>18</c:v>
                </c:pt>
                <c:pt idx="10">
                  <c:v>17</c:v>
                </c:pt>
                <c:pt idx="11">
                  <c:v>17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17</c:v>
                </c:pt>
                <c:pt idx="16">
                  <c:v>16</c:v>
                </c:pt>
                <c:pt idx="17">
                  <c:v>16</c:v>
                </c:pt>
                <c:pt idx="18">
                  <c:v>15</c:v>
                </c:pt>
                <c:pt idx="19">
                  <c:v>16</c:v>
                </c:pt>
                <c:pt idx="20">
                  <c:v>16</c:v>
                </c:pt>
                <c:pt idx="21">
                  <c:v>16</c:v>
                </c:pt>
                <c:pt idx="22">
                  <c:v>17</c:v>
                </c:pt>
                <c:pt idx="23">
                  <c:v>17</c:v>
                </c:pt>
                <c:pt idx="24">
                  <c:v>19</c:v>
                </c:pt>
                <c:pt idx="25">
                  <c:v>19</c:v>
                </c:pt>
                <c:pt idx="26">
                  <c:v>28</c:v>
                </c:pt>
                <c:pt idx="27">
                  <c:v>27</c:v>
                </c:pt>
                <c:pt idx="28">
                  <c:v>26</c:v>
                </c:pt>
                <c:pt idx="29">
                  <c:v>26</c:v>
                </c:pt>
                <c:pt idx="30">
                  <c:v>25</c:v>
                </c:pt>
                <c:pt idx="31">
                  <c:v>25</c:v>
                </c:pt>
                <c:pt idx="32">
                  <c:v>24</c:v>
                </c:pt>
                <c:pt idx="33">
                  <c:v>24</c:v>
                </c:pt>
                <c:pt idx="34">
                  <c:v>23</c:v>
                </c:pt>
                <c:pt idx="35">
                  <c:v>22</c:v>
                </c:pt>
                <c:pt idx="36">
                  <c:v>21</c:v>
                </c:pt>
                <c:pt idx="37">
                  <c:v>20</c:v>
                </c:pt>
                <c:pt idx="38">
                  <c:v>20</c:v>
                </c:pt>
                <c:pt idx="39">
                  <c:v>19</c:v>
                </c:pt>
                <c:pt idx="40">
                  <c:v>18</c:v>
                </c:pt>
                <c:pt idx="41">
                  <c:v>17</c:v>
                </c:pt>
                <c:pt idx="42">
                  <c:v>16</c:v>
                </c:pt>
                <c:pt idx="43">
                  <c:v>17</c:v>
                </c:pt>
                <c:pt idx="44">
                  <c:v>17</c:v>
                </c:pt>
                <c:pt idx="45">
                  <c:v>16</c:v>
                </c:pt>
                <c:pt idx="46">
                  <c:v>15</c:v>
                </c:pt>
                <c:pt idx="47">
                  <c:v>14</c:v>
                </c:pt>
                <c:pt idx="48">
                  <c:v>15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15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'Influence of Allocation'!$N$10</c:f>
              <c:strCache>
                <c:ptCount val="1"/>
                <c:pt idx="0">
                  <c:v>60%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FF00"/>
                </a:solidFill>
              </a:ln>
              <a:effectLst/>
            </c:spPr>
          </c:marker>
          <c:cat>
            <c:numRef>
              <c:f>'Influence of Allocation'!$A$17:$A$72</c:f>
              <c:numCache>
                <c:formatCode>General</c:formatCode>
                <c:ptCount val="5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</c:numCache>
            </c:numRef>
          </c:cat>
          <c:val>
            <c:numRef>
              <c:f>'Influence of Allocation'!$N$17:$N$72</c:f>
              <c:numCache>
                <c:formatCode>General</c:formatCode>
                <c:ptCount val="56"/>
                <c:pt idx="0">
                  <c:v>17</c:v>
                </c:pt>
                <c:pt idx="1">
                  <c:v>16</c:v>
                </c:pt>
                <c:pt idx="2">
                  <c:v>20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17</c:v>
                </c:pt>
                <c:pt idx="10">
                  <c:v>16</c:v>
                </c:pt>
                <c:pt idx="11">
                  <c:v>15</c:v>
                </c:pt>
                <c:pt idx="12">
                  <c:v>15</c:v>
                </c:pt>
                <c:pt idx="13">
                  <c:v>14</c:v>
                </c:pt>
                <c:pt idx="14">
                  <c:v>13</c:v>
                </c:pt>
                <c:pt idx="15">
                  <c:v>15</c:v>
                </c:pt>
                <c:pt idx="16">
                  <c:v>14</c:v>
                </c:pt>
                <c:pt idx="17">
                  <c:v>14</c:v>
                </c:pt>
                <c:pt idx="18">
                  <c:v>13</c:v>
                </c:pt>
                <c:pt idx="19">
                  <c:v>14</c:v>
                </c:pt>
                <c:pt idx="20">
                  <c:v>13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15</c:v>
                </c:pt>
                <c:pt idx="25">
                  <c:v>18</c:v>
                </c:pt>
                <c:pt idx="26">
                  <c:v>18</c:v>
                </c:pt>
                <c:pt idx="27">
                  <c:v>25</c:v>
                </c:pt>
                <c:pt idx="28">
                  <c:v>26</c:v>
                </c:pt>
                <c:pt idx="29">
                  <c:v>25</c:v>
                </c:pt>
                <c:pt idx="30">
                  <c:v>25</c:v>
                </c:pt>
                <c:pt idx="31">
                  <c:v>24</c:v>
                </c:pt>
                <c:pt idx="32">
                  <c:v>23</c:v>
                </c:pt>
                <c:pt idx="33">
                  <c:v>23</c:v>
                </c:pt>
                <c:pt idx="34">
                  <c:v>23</c:v>
                </c:pt>
                <c:pt idx="35">
                  <c:v>22</c:v>
                </c:pt>
                <c:pt idx="36">
                  <c:v>21</c:v>
                </c:pt>
                <c:pt idx="37">
                  <c:v>20</c:v>
                </c:pt>
                <c:pt idx="38">
                  <c:v>19</c:v>
                </c:pt>
                <c:pt idx="39">
                  <c:v>19</c:v>
                </c:pt>
                <c:pt idx="40">
                  <c:v>18</c:v>
                </c:pt>
                <c:pt idx="41">
                  <c:v>17</c:v>
                </c:pt>
                <c:pt idx="42">
                  <c:v>16</c:v>
                </c:pt>
                <c:pt idx="43">
                  <c:v>16</c:v>
                </c:pt>
                <c:pt idx="44">
                  <c:v>16</c:v>
                </c:pt>
                <c:pt idx="45">
                  <c:v>15</c:v>
                </c:pt>
                <c:pt idx="46">
                  <c:v>15</c:v>
                </c:pt>
                <c:pt idx="47">
                  <c:v>14</c:v>
                </c:pt>
                <c:pt idx="48">
                  <c:v>15</c:v>
                </c:pt>
                <c:pt idx="49">
                  <c:v>14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  <c:pt idx="53">
                  <c:v>14</c:v>
                </c:pt>
                <c:pt idx="54">
                  <c:v>13</c:v>
                </c:pt>
                <c:pt idx="55">
                  <c:v>13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'Influence of Allocation'!$O$10</c:f>
              <c:strCache>
                <c:ptCount val="1"/>
                <c:pt idx="0">
                  <c:v>80%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'Influence of Allocation'!$A$17:$A$72</c:f>
              <c:numCache>
                <c:formatCode>General</c:formatCode>
                <c:ptCount val="5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</c:numCache>
            </c:numRef>
          </c:cat>
          <c:val>
            <c:numRef>
              <c:f>'Influence of Allocation'!$O$17:$O$72</c:f>
              <c:numCache>
                <c:formatCode>General</c:formatCode>
                <c:ptCount val="56"/>
                <c:pt idx="0">
                  <c:v>17</c:v>
                </c:pt>
                <c:pt idx="1">
                  <c:v>16</c:v>
                </c:pt>
                <c:pt idx="2">
                  <c:v>15</c:v>
                </c:pt>
                <c:pt idx="3">
                  <c:v>19</c:v>
                </c:pt>
                <c:pt idx="4">
                  <c:v>18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16</c:v>
                </c:pt>
                <c:pt idx="9">
                  <c:v>15</c:v>
                </c:pt>
                <c:pt idx="10">
                  <c:v>16</c:v>
                </c:pt>
                <c:pt idx="11">
                  <c:v>15</c:v>
                </c:pt>
                <c:pt idx="12">
                  <c:v>14</c:v>
                </c:pt>
                <c:pt idx="13">
                  <c:v>13</c:v>
                </c:pt>
                <c:pt idx="14">
                  <c:v>12</c:v>
                </c:pt>
                <c:pt idx="15">
                  <c:v>12</c:v>
                </c:pt>
                <c:pt idx="16">
                  <c:v>11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12</c:v>
                </c:pt>
                <c:pt idx="21">
                  <c:v>12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14</c:v>
                </c:pt>
                <c:pt idx="26">
                  <c:v>17</c:v>
                </c:pt>
                <c:pt idx="27">
                  <c:v>17</c:v>
                </c:pt>
                <c:pt idx="28">
                  <c:v>24</c:v>
                </c:pt>
                <c:pt idx="29">
                  <c:v>23</c:v>
                </c:pt>
                <c:pt idx="30">
                  <c:v>24</c:v>
                </c:pt>
                <c:pt idx="31">
                  <c:v>24</c:v>
                </c:pt>
                <c:pt idx="32">
                  <c:v>23</c:v>
                </c:pt>
                <c:pt idx="33">
                  <c:v>22</c:v>
                </c:pt>
                <c:pt idx="34">
                  <c:v>22</c:v>
                </c:pt>
                <c:pt idx="35">
                  <c:v>22</c:v>
                </c:pt>
                <c:pt idx="36">
                  <c:v>21</c:v>
                </c:pt>
                <c:pt idx="37">
                  <c:v>20</c:v>
                </c:pt>
                <c:pt idx="38">
                  <c:v>19</c:v>
                </c:pt>
                <c:pt idx="39">
                  <c:v>18</c:v>
                </c:pt>
                <c:pt idx="40">
                  <c:v>18</c:v>
                </c:pt>
                <c:pt idx="41">
                  <c:v>17</c:v>
                </c:pt>
                <c:pt idx="42">
                  <c:v>16</c:v>
                </c:pt>
                <c:pt idx="43">
                  <c:v>15</c:v>
                </c:pt>
                <c:pt idx="44">
                  <c:v>15</c:v>
                </c:pt>
                <c:pt idx="45">
                  <c:v>15</c:v>
                </c:pt>
                <c:pt idx="46">
                  <c:v>14</c:v>
                </c:pt>
                <c:pt idx="47">
                  <c:v>14</c:v>
                </c:pt>
                <c:pt idx="48">
                  <c:v>13</c:v>
                </c:pt>
                <c:pt idx="49">
                  <c:v>14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  <c:pt idx="53">
                  <c:v>14</c:v>
                </c:pt>
                <c:pt idx="54">
                  <c:v>13</c:v>
                </c:pt>
                <c:pt idx="55">
                  <c:v>13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'Influence of Allocation'!$P$10</c:f>
              <c:strCache>
                <c:ptCount val="1"/>
                <c:pt idx="0">
                  <c:v>100%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'Influence of Allocation'!$A$17:$A$72</c:f>
              <c:numCache>
                <c:formatCode>General</c:formatCode>
                <c:ptCount val="5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</c:numCache>
            </c:numRef>
          </c:cat>
          <c:val>
            <c:numRef>
              <c:f>'Influence of Allocation'!$P$17:$P$72</c:f>
              <c:numCache>
                <c:formatCode>General</c:formatCode>
                <c:ptCount val="56"/>
                <c:pt idx="0">
                  <c:v>17</c:v>
                </c:pt>
                <c:pt idx="1">
                  <c:v>16</c:v>
                </c:pt>
                <c:pt idx="2">
                  <c:v>15</c:v>
                </c:pt>
                <c:pt idx="3">
                  <c:v>14</c:v>
                </c:pt>
                <c:pt idx="4">
                  <c:v>18</c:v>
                </c:pt>
                <c:pt idx="5">
                  <c:v>17</c:v>
                </c:pt>
                <c:pt idx="6">
                  <c:v>16</c:v>
                </c:pt>
                <c:pt idx="7">
                  <c:v>16</c:v>
                </c:pt>
                <c:pt idx="8">
                  <c:v>15</c:v>
                </c:pt>
                <c:pt idx="9">
                  <c:v>14</c:v>
                </c:pt>
                <c:pt idx="10">
                  <c:v>14</c:v>
                </c:pt>
                <c:pt idx="11">
                  <c:v>13</c:v>
                </c:pt>
                <c:pt idx="12">
                  <c:v>14</c:v>
                </c:pt>
                <c:pt idx="13">
                  <c:v>13</c:v>
                </c:pt>
                <c:pt idx="14">
                  <c:v>12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10</c:v>
                </c:pt>
                <c:pt idx="19">
                  <c:v>11</c:v>
                </c:pt>
                <c:pt idx="20">
                  <c:v>10</c:v>
                </c:pt>
                <c:pt idx="21">
                  <c:v>11</c:v>
                </c:pt>
                <c:pt idx="22">
                  <c:v>11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14</c:v>
                </c:pt>
                <c:pt idx="27">
                  <c:v>17</c:v>
                </c:pt>
                <c:pt idx="28">
                  <c:v>16</c:v>
                </c:pt>
                <c:pt idx="29">
                  <c:v>23</c:v>
                </c:pt>
                <c:pt idx="30">
                  <c:v>22</c:v>
                </c:pt>
                <c:pt idx="31">
                  <c:v>24</c:v>
                </c:pt>
                <c:pt idx="32">
                  <c:v>23</c:v>
                </c:pt>
                <c:pt idx="33">
                  <c:v>22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20</c:v>
                </c:pt>
                <c:pt idx="38">
                  <c:v>19</c:v>
                </c:pt>
                <c:pt idx="39">
                  <c:v>18</c:v>
                </c:pt>
                <c:pt idx="40">
                  <c:v>17</c:v>
                </c:pt>
                <c:pt idx="41">
                  <c:v>17</c:v>
                </c:pt>
                <c:pt idx="42">
                  <c:v>16</c:v>
                </c:pt>
                <c:pt idx="43">
                  <c:v>15</c:v>
                </c:pt>
                <c:pt idx="44">
                  <c:v>15</c:v>
                </c:pt>
                <c:pt idx="45">
                  <c:v>15</c:v>
                </c:pt>
                <c:pt idx="46">
                  <c:v>14</c:v>
                </c:pt>
                <c:pt idx="47">
                  <c:v>14</c:v>
                </c:pt>
                <c:pt idx="48">
                  <c:v>13</c:v>
                </c:pt>
                <c:pt idx="49">
                  <c:v>12</c:v>
                </c:pt>
                <c:pt idx="50">
                  <c:v>13</c:v>
                </c:pt>
                <c:pt idx="51">
                  <c:v>12</c:v>
                </c:pt>
                <c:pt idx="52">
                  <c:v>13</c:v>
                </c:pt>
                <c:pt idx="53">
                  <c:v>14</c:v>
                </c:pt>
                <c:pt idx="54">
                  <c:v>13</c:v>
                </c:pt>
                <c:pt idx="55">
                  <c:v>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533840"/>
        <c:axId val="512536192"/>
      </c:lineChart>
      <c:catAx>
        <c:axId val="512533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536192"/>
        <c:crosses val="autoZero"/>
        <c:auto val="1"/>
        <c:lblAlgn val="ctr"/>
        <c:lblOffset val="100"/>
        <c:noMultiLvlLbl val="0"/>
      </c:catAx>
      <c:valAx>
        <c:axId val="51253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 to FI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533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75% SR, Varying Stock Allocation</a:t>
            </a:r>
          </a:p>
        </c:rich>
      </c:tx>
      <c:layout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'Influence of Allocation'!$Q$10</c:f>
              <c:strCache>
                <c:ptCount val="1"/>
                <c:pt idx="0">
                  <c:v>20%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'Influence of Allocation'!$A$17:$A$72</c:f>
              <c:numCache>
                <c:formatCode>General</c:formatCode>
                <c:ptCount val="5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</c:numCache>
            </c:numRef>
          </c:cat>
          <c:val>
            <c:numRef>
              <c:f>'Influence of Allocation'!$Q$17:$Q$72</c:f>
              <c:numCache>
                <c:formatCode>General</c:formatCode>
                <c:ptCount val="56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9</c:v>
                </c:pt>
                <c:pt idx="7">
                  <c:v>9</c:v>
                </c:pt>
                <c:pt idx="8">
                  <c:v>8</c:v>
                </c:pt>
                <c:pt idx="9">
                  <c:v>8</c:v>
                </c:pt>
                <c:pt idx="10">
                  <c:v>10</c:v>
                </c:pt>
                <c:pt idx="11">
                  <c:v>10</c:v>
                </c:pt>
                <c:pt idx="12">
                  <c:v>9</c:v>
                </c:pt>
                <c:pt idx="13">
                  <c:v>9</c:v>
                </c:pt>
                <c:pt idx="14">
                  <c:v>8</c:v>
                </c:pt>
                <c:pt idx="15">
                  <c:v>9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8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8</c:v>
                </c:pt>
                <c:pt idx="32">
                  <c:v>8</c:v>
                </c:pt>
                <c:pt idx="33">
                  <c:v>9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9</c:v>
                </c:pt>
                <c:pt idx="39">
                  <c:v>9</c:v>
                </c:pt>
                <c:pt idx="40">
                  <c:v>8</c:v>
                </c:pt>
                <c:pt idx="41">
                  <c:v>9</c:v>
                </c:pt>
                <c:pt idx="42">
                  <c:v>11</c:v>
                </c:pt>
                <c:pt idx="43">
                  <c:v>11</c:v>
                </c:pt>
                <c:pt idx="44">
                  <c:v>10</c:v>
                </c:pt>
                <c:pt idx="45">
                  <c:v>9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7</c:v>
                </c:pt>
                <c:pt idx="50">
                  <c:v>7</c:v>
                </c:pt>
                <c:pt idx="51">
                  <c:v>6</c:v>
                </c:pt>
                <c:pt idx="52">
                  <c:v>6</c:v>
                </c:pt>
                <c:pt idx="53">
                  <c:v>5</c:v>
                </c:pt>
                <c:pt idx="54">
                  <c:v>6</c:v>
                </c:pt>
                <c:pt idx="55">
                  <c:v>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'Influence of Allocation'!$R$10</c:f>
              <c:strCache>
                <c:ptCount val="1"/>
                <c:pt idx="0">
                  <c:v>40%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FFC000"/>
                </a:solidFill>
              </a:ln>
              <a:effectLst/>
            </c:spPr>
          </c:marker>
          <c:cat>
            <c:numRef>
              <c:f>'Influence of Allocation'!$A$17:$A$72</c:f>
              <c:numCache>
                <c:formatCode>General</c:formatCode>
                <c:ptCount val="5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</c:numCache>
            </c:numRef>
          </c:cat>
          <c:val>
            <c:numRef>
              <c:f>'Influence of Allocation'!$R$17:$R$72</c:f>
              <c:numCache>
                <c:formatCode>General</c:formatCode>
                <c:ptCount val="56"/>
                <c:pt idx="0">
                  <c:v>7</c:v>
                </c:pt>
                <c:pt idx="1">
                  <c:v>6</c:v>
                </c:pt>
                <c:pt idx="2">
                  <c:v>6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9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7</c:v>
                </c:pt>
                <c:pt idx="11">
                  <c:v>9</c:v>
                </c:pt>
                <c:pt idx="12">
                  <c:v>9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9</c:v>
                </c:pt>
                <c:pt idx="39">
                  <c:v>9</c:v>
                </c:pt>
                <c:pt idx="40">
                  <c:v>8</c:v>
                </c:pt>
                <c:pt idx="41">
                  <c:v>9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9</c:v>
                </c:pt>
                <c:pt idx="46">
                  <c:v>8</c:v>
                </c:pt>
                <c:pt idx="47">
                  <c:v>8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6</c:v>
                </c:pt>
                <c:pt idx="52">
                  <c:v>6</c:v>
                </c:pt>
                <c:pt idx="53">
                  <c:v>5</c:v>
                </c:pt>
                <c:pt idx="54">
                  <c:v>6</c:v>
                </c:pt>
                <c:pt idx="55">
                  <c:v>6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'Influence of Allocation'!$S$10</c:f>
              <c:strCache>
                <c:ptCount val="1"/>
                <c:pt idx="0">
                  <c:v>60%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FF00"/>
                </a:solidFill>
              </a:ln>
              <a:effectLst/>
            </c:spPr>
          </c:marker>
          <c:cat>
            <c:numRef>
              <c:f>'Influence of Allocation'!$A$17:$A$72</c:f>
              <c:numCache>
                <c:formatCode>General</c:formatCode>
                <c:ptCount val="5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</c:numCache>
            </c:numRef>
          </c:cat>
          <c:val>
            <c:numRef>
              <c:f>'Influence of Allocation'!$S$17:$S$72</c:f>
              <c:numCache>
                <c:formatCode>General</c:formatCode>
                <c:ptCount val="56"/>
                <c:pt idx="0">
                  <c:v>7</c:v>
                </c:pt>
                <c:pt idx="1">
                  <c:v>6</c:v>
                </c:pt>
                <c:pt idx="2">
                  <c:v>6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9</c:v>
                </c:pt>
                <c:pt idx="7">
                  <c:v>8</c:v>
                </c:pt>
                <c:pt idx="8">
                  <c:v>8</c:v>
                </c:pt>
                <c:pt idx="9">
                  <c:v>7</c:v>
                </c:pt>
                <c:pt idx="10">
                  <c:v>7</c:v>
                </c:pt>
                <c:pt idx="11">
                  <c:v>6</c:v>
                </c:pt>
                <c:pt idx="12">
                  <c:v>9</c:v>
                </c:pt>
                <c:pt idx="13">
                  <c:v>8</c:v>
                </c:pt>
                <c:pt idx="14">
                  <c:v>8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6</c:v>
                </c:pt>
                <c:pt idx="19">
                  <c:v>7</c:v>
                </c:pt>
                <c:pt idx="20">
                  <c:v>6</c:v>
                </c:pt>
                <c:pt idx="21">
                  <c:v>6</c:v>
                </c:pt>
                <c:pt idx="22">
                  <c:v>5</c:v>
                </c:pt>
                <c:pt idx="23">
                  <c:v>7</c:v>
                </c:pt>
                <c:pt idx="24">
                  <c:v>6</c:v>
                </c:pt>
                <c:pt idx="25">
                  <c:v>6</c:v>
                </c:pt>
                <c:pt idx="26">
                  <c:v>7</c:v>
                </c:pt>
                <c:pt idx="27">
                  <c:v>6</c:v>
                </c:pt>
                <c:pt idx="28">
                  <c:v>7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7</c:v>
                </c:pt>
                <c:pt idx="33">
                  <c:v>7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7</c:v>
                </c:pt>
                <c:pt idx="38">
                  <c:v>9</c:v>
                </c:pt>
                <c:pt idx="39">
                  <c:v>9</c:v>
                </c:pt>
                <c:pt idx="40">
                  <c:v>8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10</c:v>
                </c:pt>
                <c:pt idx="45">
                  <c:v>9</c:v>
                </c:pt>
                <c:pt idx="46">
                  <c:v>8</c:v>
                </c:pt>
                <c:pt idx="47">
                  <c:v>8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6</c:v>
                </c:pt>
                <c:pt idx="52">
                  <c:v>6</c:v>
                </c:pt>
                <c:pt idx="53">
                  <c:v>5</c:v>
                </c:pt>
                <c:pt idx="54">
                  <c:v>6</c:v>
                </c:pt>
                <c:pt idx="55">
                  <c:v>6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'Influence of Allocation'!$T$10</c:f>
              <c:strCache>
                <c:ptCount val="1"/>
                <c:pt idx="0">
                  <c:v>80%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'Influence of Allocation'!$A$17:$A$72</c:f>
              <c:numCache>
                <c:formatCode>General</c:formatCode>
                <c:ptCount val="5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</c:numCache>
            </c:numRef>
          </c:cat>
          <c:val>
            <c:numRef>
              <c:f>'Influence of Allocation'!$T$17:$T$72</c:f>
              <c:numCache>
                <c:formatCode>General</c:formatCode>
                <c:ptCount val="56"/>
                <c:pt idx="0">
                  <c:v>7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9</c:v>
                </c:pt>
                <c:pt idx="6">
                  <c:v>9</c:v>
                </c:pt>
                <c:pt idx="7">
                  <c:v>8</c:v>
                </c:pt>
                <c:pt idx="8">
                  <c:v>8</c:v>
                </c:pt>
                <c:pt idx="9">
                  <c:v>7</c:v>
                </c:pt>
                <c:pt idx="10">
                  <c:v>7</c:v>
                </c:pt>
                <c:pt idx="11">
                  <c:v>6</c:v>
                </c:pt>
                <c:pt idx="12">
                  <c:v>8</c:v>
                </c:pt>
                <c:pt idx="13">
                  <c:v>8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7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7</c:v>
                </c:pt>
                <c:pt idx="33">
                  <c:v>7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7</c:v>
                </c:pt>
                <c:pt idx="38">
                  <c:v>10</c:v>
                </c:pt>
                <c:pt idx="39">
                  <c:v>9</c:v>
                </c:pt>
                <c:pt idx="40">
                  <c:v>8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8</c:v>
                </c:pt>
                <c:pt idx="45">
                  <c:v>9</c:v>
                </c:pt>
                <c:pt idx="46">
                  <c:v>8</c:v>
                </c:pt>
                <c:pt idx="47">
                  <c:v>8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6</c:v>
                </c:pt>
                <c:pt idx="52">
                  <c:v>6</c:v>
                </c:pt>
                <c:pt idx="53">
                  <c:v>5</c:v>
                </c:pt>
                <c:pt idx="54">
                  <c:v>6</c:v>
                </c:pt>
                <c:pt idx="55">
                  <c:v>6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'Influence of Allocation'!$U$10</c:f>
              <c:strCache>
                <c:ptCount val="1"/>
                <c:pt idx="0">
                  <c:v>100%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'Influence of Allocation'!$A$17:$A$72</c:f>
              <c:numCache>
                <c:formatCode>General</c:formatCode>
                <c:ptCount val="5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</c:numCache>
            </c:numRef>
          </c:cat>
          <c:val>
            <c:numRef>
              <c:f>'Influence of Allocation'!$U$17:$U$72</c:f>
              <c:numCache>
                <c:formatCode>General</c:formatCode>
                <c:ptCount val="56"/>
                <c:pt idx="0">
                  <c:v>7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9</c:v>
                </c:pt>
                <c:pt idx="6">
                  <c:v>9</c:v>
                </c:pt>
                <c:pt idx="7">
                  <c:v>8</c:v>
                </c:pt>
                <c:pt idx="8">
                  <c:v>8</c:v>
                </c:pt>
                <c:pt idx="9">
                  <c:v>7</c:v>
                </c:pt>
                <c:pt idx="10">
                  <c:v>7</c:v>
                </c:pt>
                <c:pt idx="11">
                  <c:v>6</c:v>
                </c:pt>
                <c:pt idx="12">
                  <c:v>5</c:v>
                </c:pt>
                <c:pt idx="13">
                  <c:v>8</c:v>
                </c:pt>
                <c:pt idx="14">
                  <c:v>7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5</c:v>
                </c:pt>
                <c:pt idx="20">
                  <c:v>6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6</c:v>
                </c:pt>
                <c:pt idx="25">
                  <c:v>5</c:v>
                </c:pt>
                <c:pt idx="26">
                  <c:v>6</c:v>
                </c:pt>
                <c:pt idx="27">
                  <c:v>6</c:v>
                </c:pt>
                <c:pt idx="28">
                  <c:v>7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7</c:v>
                </c:pt>
                <c:pt idx="33">
                  <c:v>6</c:v>
                </c:pt>
                <c:pt idx="34">
                  <c:v>6</c:v>
                </c:pt>
                <c:pt idx="35">
                  <c:v>8</c:v>
                </c:pt>
                <c:pt idx="36">
                  <c:v>8</c:v>
                </c:pt>
                <c:pt idx="37">
                  <c:v>7</c:v>
                </c:pt>
                <c:pt idx="38">
                  <c:v>10</c:v>
                </c:pt>
                <c:pt idx="39">
                  <c:v>9</c:v>
                </c:pt>
                <c:pt idx="40">
                  <c:v>8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8</c:v>
                </c:pt>
                <c:pt idx="45">
                  <c:v>7</c:v>
                </c:pt>
                <c:pt idx="46">
                  <c:v>8</c:v>
                </c:pt>
                <c:pt idx="47">
                  <c:v>8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6</c:v>
                </c:pt>
                <c:pt idx="52">
                  <c:v>6</c:v>
                </c:pt>
                <c:pt idx="53">
                  <c:v>5</c:v>
                </c:pt>
                <c:pt idx="54">
                  <c:v>6</c:v>
                </c:pt>
                <c:pt idx="55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807216"/>
        <c:axId val="505807608"/>
      </c:lineChart>
      <c:catAx>
        <c:axId val="50580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807608"/>
        <c:crosses val="autoZero"/>
        <c:auto val="1"/>
        <c:lblAlgn val="ctr"/>
        <c:lblOffset val="100"/>
        <c:noMultiLvlLbl val="0"/>
      </c:catAx>
      <c:valAx>
        <c:axId val="505807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 to FI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80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With</a:t>
            </a:r>
            <a:r>
              <a:rPr lang="en-US" baseline="0"/>
              <a:t> Inflation</a:t>
            </a:r>
          </a:p>
        </c:rich>
      </c:tx>
      <c:layout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'Investigate Inflation-Returns'!$J$15</c:f>
              <c:strCache>
                <c:ptCount val="1"/>
                <c:pt idx="0">
                  <c:v>Stock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'Investigate Inflation-Returns'!$A$17:$A$106</c:f>
              <c:numCache>
                <c:formatCode>General</c:formatCode>
                <c:ptCount val="90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  <c:pt idx="56">
                  <c:v>1984</c:v>
                </c:pt>
                <c:pt idx="57">
                  <c:v>1985</c:v>
                </c:pt>
                <c:pt idx="58">
                  <c:v>1986</c:v>
                </c:pt>
                <c:pt idx="59">
                  <c:v>1987</c:v>
                </c:pt>
                <c:pt idx="60">
                  <c:v>1988</c:v>
                </c:pt>
                <c:pt idx="61">
                  <c:v>1989</c:v>
                </c:pt>
                <c:pt idx="62">
                  <c:v>1990</c:v>
                </c:pt>
                <c:pt idx="63">
                  <c:v>1991</c:v>
                </c:pt>
                <c:pt idx="64">
                  <c:v>1992</c:v>
                </c:pt>
                <c:pt idx="65">
                  <c:v>1993</c:v>
                </c:pt>
                <c:pt idx="66">
                  <c:v>1994</c:v>
                </c:pt>
                <c:pt idx="67">
                  <c:v>1995</c:v>
                </c:pt>
                <c:pt idx="68">
                  <c:v>1996</c:v>
                </c:pt>
                <c:pt idx="69">
                  <c:v>1997</c:v>
                </c:pt>
                <c:pt idx="70">
                  <c:v>1998</c:v>
                </c:pt>
                <c:pt idx="71">
                  <c:v>1999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</c:numCache>
            </c:numRef>
          </c:cat>
          <c:val>
            <c:numRef>
              <c:f>'Investigate Inflation-Returns'!$J$16:$J$106</c:f>
              <c:numCache>
                <c:formatCode>General</c:formatCode>
                <c:ptCount val="91"/>
                <c:pt idx="0">
                  <c:v>0.8</c:v>
                </c:pt>
                <c:pt idx="1">
                  <c:v>1.1700381599999998</c:v>
                </c:pt>
                <c:pt idx="2">
                  <c:v>1.07292499272</c:v>
                </c:pt>
                <c:pt idx="3">
                  <c:v>0.8218845779433569</c:v>
                </c:pt>
                <c:pt idx="4">
                  <c:v>0.50311171308055835</c:v>
                </c:pt>
                <c:pt idx="5">
                  <c:v>0.50514750431636746</c:v>
                </c:pt>
                <c:pt idx="6">
                  <c:v>0.79625885854934597</c:v>
                </c:pt>
                <c:pt idx="7">
                  <c:v>0.76239309341049788</c:v>
                </c:pt>
                <c:pt idx="8">
                  <c:v>1.0941234415146122</c:v>
                </c:pt>
                <c:pt idx="9">
                  <c:v>1.4219326717033633</c:v>
                </c:pt>
                <c:pt idx="10">
                  <c:v>0.88632248556455262</c:v>
                </c:pt>
                <c:pt idx="11">
                  <c:v>1.1699003012339484</c:v>
                </c:pt>
                <c:pt idx="12">
                  <c:v>1.1732298374912602</c:v>
                </c:pt>
                <c:pt idx="13">
                  <c:v>1.0407098903341261</c:v>
                </c:pt>
                <c:pt idx="14">
                  <c:v>0.86242067547153523</c:v>
                </c:pt>
                <c:pt idx="15">
                  <c:v>0.9157223265928508</c:v>
                </c:pt>
                <c:pt idx="16">
                  <c:v>1.0753449987971611</c:v>
                </c:pt>
                <c:pt idx="17">
                  <c:v>1.2582234384831004</c:v>
                </c:pt>
                <c:pt idx="18">
                  <c:v>1.6696139354423487</c:v>
                </c:pt>
                <c:pt idx="19">
                  <c:v>1.4019696457877404</c:v>
                </c:pt>
                <c:pt idx="20">
                  <c:v>1.2624904896676097</c:v>
                </c:pt>
                <c:pt idx="21">
                  <c:v>1.2263617993247917</c:v>
                </c:pt>
                <c:pt idx="22">
                  <c:v>1.4681954407044435</c:v>
                </c:pt>
                <c:pt idx="23">
                  <c:v>1.8955793520576714</c:v>
                </c:pt>
                <c:pt idx="24">
                  <c:v>2.1592407917575587</c:v>
                </c:pt>
                <c:pt idx="25">
                  <c:v>2.502671278547786</c:v>
                </c:pt>
                <c:pt idx="26">
                  <c:v>2.4526098444287388</c:v>
                </c:pt>
                <c:pt idx="27">
                  <c:v>3.7155096676098602</c:v>
                </c:pt>
                <c:pt idx="28">
                  <c:v>4.9464728825276776</c:v>
                </c:pt>
                <c:pt idx="29">
                  <c:v>5.2347731080129201</c:v>
                </c:pt>
                <c:pt idx="30">
                  <c:v>4.5325377181645807</c:v>
                </c:pt>
                <c:pt idx="31">
                  <c:v>6.3317666387068439</c:v>
                </c:pt>
                <c:pt idx="32">
                  <c:v>7.0457100514675446</c:v>
                </c:pt>
                <c:pt idx="33">
                  <c:v>6.9494811527266114</c:v>
                </c:pt>
                <c:pt idx="34">
                  <c:v>8.7128147024948515</c:v>
                </c:pt>
                <c:pt idx="35">
                  <c:v>7.8657635699330051</c:v>
                </c:pt>
                <c:pt idx="36">
                  <c:v>9.5188379478246237</c:v>
                </c:pt>
                <c:pt idx="37">
                  <c:v>10.937767334052282</c:v>
                </c:pt>
                <c:pt idx="38">
                  <c:v>12.09734567573917</c:v>
                </c:pt>
                <c:pt idx="39">
                  <c:v>10.575394342823802</c:v>
                </c:pt>
                <c:pt idx="40">
                  <c:v>12.686475712326974</c:v>
                </c:pt>
                <c:pt idx="41">
                  <c:v>13.46745261988268</c:v>
                </c:pt>
                <c:pt idx="42">
                  <c:v>11.678059125184106</c:v>
                </c:pt>
                <c:pt idx="43">
                  <c:v>11.404451542328342</c:v>
                </c:pt>
                <c:pt idx="44">
                  <c:v>12.453013311374944</c:v>
                </c:pt>
                <c:pt idx="45">
                  <c:v>14.315944253114038</c:v>
                </c:pt>
                <c:pt idx="46">
                  <c:v>11.506758007402826</c:v>
                </c:pt>
                <c:pt idx="47">
                  <c:v>7.5885918383020901</c:v>
                </c:pt>
                <c:pt idx="48">
                  <c:v>9.4503010739927422</c:v>
                </c:pt>
                <c:pt idx="49">
                  <c:v>11.023573966369549</c:v>
                </c:pt>
                <c:pt idx="50">
                  <c:v>9.5876101507883522</c:v>
                </c:pt>
                <c:pt idx="51">
                  <c:v>9.4356695401627189</c:v>
                </c:pt>
                <c:pt idx="52">
                  <c:v>9.9194589630937582</c:v>
                </c:pt>
                <c:pt idx="53">
                  <c:v>11.303729380852456</c:v>
                </c:pt>
                <c:pt idx="54">
                  <c:v>9.6628913276572934</c:v>
                </c:pt>
                <c:pt idx="55">
                  <c:v>10.914618405085488</c:v>
                </c:pt>
                <c:pt idx="56">
                  <c:v>12.925649943764574</c:v>
                </c:pt>
                <c:pt idx="57">
                  <c:v>13.130592586447936</c:v>
                </c:pt>
                <c:pt idx="58">
                  <c:v>16.612216480877915</c:v>
                </c:pt>
                <c:pt idx="59">
                  <c:v>19.309822817336592</c:v>
                </c:pt>
                <c:pt idx="60">
                  <c:v>19.69618147619499</c:v>
                </c:pt>
                <c:pt idx="61">
                  <c:v>22.012818766770977</c:v>
                </c:pt>
                <c:pt idx="62">
                  <c:v>27.553216317052055</c:v>
                </c:pt>
                <c:pt idx="63">
                  <c:v>25.267743151271748</c:v>
                </c:pt>
                <c:pt idx="64">
                  <c:v>31.524122265853347</c:v>
                </c:pt>
                <c:pt idx="65">
                  <c:v>32.868720652858784</c:v>
                </c:pt>
                <c:pt idx="66">
                  <c:v>35.061360138890336</c:v>
                </c:pt>
                <c:pt idx="67">
                  <c:v>34.603956646790408</c:v>
                </c:pt>
                <c:pt idx="68">
                  <c:v>46.147282920853335</c:v>
                </c:pt>
                <c:pt idx="69">
                  <c:v>54.915082086683782</c:v>
                </c:pt>
                <c:pt idx="70">
                  <c:v>71.41085884945646</c:v>
                </c:pt>
                <c:pt idx="71">
                  <c:v>90.18231710743413</c:v>
                </c:pt>
                <c:pt idx="72">
                  <c:v>106.62293228185122</c:v>
                </c:pt>
                <c:pt idx="73">
                  <c:v>93.697055525908837</c:v>
                </c:pt>
                <c:pt idx="74">
                  <c:v>80.281323721598142</c:v>
                </c:pt>
                <c:pt idx="75">
                  <c:v>61.64122062956362</c:v>
                </c:pt>
                <c:pt idx="76">
                  <c:v>77.302849371705392</c:v>
                </c:pt>
                <c:pt idx="77">
                  <c:v>83.293835658582424</c:v>
                </c:pt>
                <c:pt idx="78">
                  <c:v>84.348152371581634</c:v>
                </c:pt>
                <c:pt idx="79">
                  <c:v>94.39442219016837</c:v>
                </c:pt>
                <c:pt idx="80">
                  <c:v>96.779353903456283</c:v>
                </c:pt>
                <c:pt idx="81">
                  <c:v>59.073053049776782</c:v>
                </c:pt>
                <c:pt idx="82">
                  <c:v>74.694189422932439</c:v>
                </c:pt>
                <c:pt idx="83">
                  <c:v>84.391646402684458</c:v>
                </c:pt>
                <c:pt idx="84">
                  <c:v>83.406627105872303</c:v>
                </c:pt>
                <c:pt idx="85">
                  <c:v>94.630081409782505</c:v>
                </c:pt>
                <c:pt idx="86">
                  <c:v>123.17784779428216</c:v>
                </c:pt>
                <c:pt idx="87">
                  <c:v>137.59418893101198</c:v>
                </c:pt>
                <c:pt idx="88">
                  <c:v>139.3534957495217</c:v>
                </c:pt>
                <c:pt idx="89">
                  <c:v>153.73058197065026</c:v>
                </c:pt>
                <c:pt idx="90">
                  <c:v>183.07092443100788</c:v>
                </c:pt>
              </c:numCache>
            </c:numRef>
          </c:val>
        </c:ser>
        <c:ser>
          <c:idx val="1"/>
          <c:order val="1"/>
          <c:tx>
            <c:strRef>
              <c:f>'Investigate Inflation-Returns'!$K$15</c:f>
              <c:strCache>
                <c:ptCount val="1"/>
                <c:pt idx="0">
                  <c:v>Bond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'Investigate Inflation-Returns'!$A$17:$A$106</c:f>
              <c:numCache>
                <c:formatCode>General</c:formatCode>
                <c:ptCount val="90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  <c:pt idx="56">
                  <c:v>1984</c:v>
                </c:pt>
                <c:pt idx="57">
                  <c:v>1985</c:v>
                </c:pt>
                <c:pt idx="58">
                  <c:v>1986</c:v>
                </c:pt>
                <c:pt idx="59">
                  <c:v>1987</c:v>
                </c:pt>
                <c:pt idx="60">
                  <c:v>1988</c:v>
                </c:pt>
                <c:pt idx="61">
                  <c:v>1989</c:v>
                </c:pt>
                <c:pt idx="62">
                  <c:v>1990</c:v>
                </c:pt>
                <c:pt idx="63">
                  <c:v>1991</c:v>
                </c:pt>
                <c:pt idx="64">
                  <c:v>1992</c:v>
                </c:pt>
                <c:pt idx="65">
                  <c:v>1993</c:v>
                </c:pt>
                <c:pt idx="66">
                  <c:v>1994</c:v>
                </c:pt>
                <c:pt idx="67">
                  <c:v>1995</c:v>
                </c:pt>
                <c:pt idx="68">
                  <c:v>1996</c:v>
                </c:pt>
                <c:pt idx="69">
                  <c:v>1997</c:v>
                </c:pt>
                <c:pt idx="70">
                  <c:v>1998</c:v>
                </c:pt>
                <c:pt idx="71">
                  <c:v>1999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</c:numCache>
            </c:numRef>
          </c:cat>
          <c:val>
            <c:numRef>
              <c:f>'Investigate Inflation-Returns'!$K$16:$K$106</c:f>
              <c:numCache>
                <c:formatCode>General</c:formatCode>
                <c:ptCount val="91"/>
                <c:pt idx="0">
                  <c:v>0.19999999999999996</c:v>
                </c:pt>
                <c:pt idx="1">
                  <c:v>0.20966471999999994</c:v>
                </c:pt>
                <c:pt idx="2">
                  <c:v>0.21629012515199997</c:v>
                </c:pt>
                <c:pt idx="3">
                  <c:v>0.23133234634088354</c:v>
                </c:pt>
                <c:pt idx="4">
                  <c:v>0.25797697466008013</c:v>
                </c:pt>
                <c:pt idx="5">
                  <c:v>0.28655032378954831</c:v>
                </c:pt>
                <c:pt idx="6">
                  <c:v>0.30405556844972231</c:v>
                </c:pt>
                <c:pt idx="7">
                  <c:v>0.29557266133442983</c:v>
                </c:pt>
                <c:pt idx="8">
                  <c:v>0.28959038889808553</c:v>
                </c:pt>
                <c:pt idx="9">
                  <c:v>0.28573145217082407</c:v>
                </c:pt>
                <c:pt idx="10">
                  <c:v>0.27627145525235236</c:v>
                </c:pt>
                <c:pt idx="11">
                  <c:v>0.28229881433730186</c:v>
                </c:pt>
                <c:pt idx="12">
                  <c:v>0.28636549813711926</c:v>
                </c:pt>
                <c:pt idx="13">
                  <c:v>0.28444624793205442</c:v>
                </c:pt>
                <c:pt idx="14">
                  <c:v>0.27044011468388007</c:v>
                </c:pt>
                <c:pt idx="15">
                  <c:v>0.24178141346676052</c:v>
                </c:pt>
                <c:pt idx="16">
                  <c:v>0.22789547168482024</c:v>
                </c:pt>
                <c:pt idx="17">
                  <c:v>0.22487252941110977</c:v>
                </c:pt>
                <c:pt idx="18">
                  <c:v>0.22053532298734593</c:v>
                </c:pt>
                <c:pt idx="19">
                  <c:v>0.20299936856587794</c:v>
                </c:pt>
                <c:pt idx="20">
                  <c:v>0.17475793401149814</c:v>
                </c:pt>
                <c:pt idx="21">
                  <c:v>0.16224068727840377</c:v>
                </c:pt>
                <c:pt idx="22">
                  <c:v>0.16599363885652776</c:v>
                </c:pt>
                <c:pt idx="23">
                  <c:v>0.16575259949354421</c:v>
                </c:pt>
                <c:pt idx="24">
                  <c:v>0.1549174846667308</c:v>
                </c:pt>
                <c:pt idx="25">
                  <c:v>0.15451201913411255</c:v>
                </c:pt>
                <c:pt idx="26">
                  <c:v>0.15617283792538128</c:v>
                </c:pt>
                <c:pt idx="27">
                  <c:v>0.1565683924892787</c:v>
                </c:pt>
                <c:pt idx="28">
                  <c:v>0.15980409751581912</c:v>
                </c:pt>
                <c:pt idx="29">
                  <c:v>0.16143665617604072</c:v>
                </c:pt>
                <c:pt idx="30">
                  <c:v>0.16115157518489945</c:v>
                </c:pt>
                <c:pt idx="31">
                  <c:v>0.15942751117294132</c:v>
                </c:pt>
                <c:pt idx="32">
                  <c:v>0.16347247410091895</c:v>
                </c:pt>
                <c:pt idx="33">
                  <c:v>0.16559459202346</c:v>
                </c:pt>
                <c:pt idx="34">
                  <c:v>0.16766005336976861</c:v>
                </c:pt>
                <c:pt idx="35">
                  <c:v>0.17059779282491369</c:v>
                </c:pt>
                <c:pt idx="36">
                  <c:v>0.1736166401874055</c:v>
                </c:pt>
                <c:pt idx="37">
                  <c:v>0.17737434666262963</c:v>
                </c:pt>
                <c:pt idx="38">
                  <c:v>0.18134327504355263</c:v>
                </c:pt>
                <c:pt idx="39">
                  <c:v>0.18460680115854641</c:v>
                </c:pt>
                <c:pt idx="40">
                  <c:v>0.1866296671036014</c:v>
                </c:pt>
                <c:pt idx="41">
                  <c:v>0.18819563931433431</c:v>
                </c:pt>
                <c:pt idx="42">
                  <c:v>0.18951150322442015</c:v>
                </c:pt>
                <c:pt idx="43">
                  <c:v>0.1906650028910962</c:v>
                </c:pt>
                <c:pt idx="44">
                  <c:v>0.19055106148536849</c:v>
                </c:pt>
                <c:pt idx="45">
                  <c:v>0.19173933790479125</c:v>
                </c:pt>
                <c:pt idx="46">
                  <c:v>0.19195550483434509</c:v>
                </c:pt>
                <c:pt idx="47">
                  <c:v>0.18413178236830688</c:v>
                </c:pt>
                <c:pt idx="48">
                  <c:v>0.17740160000414115</c:v>
                </c:pt>
                <c:pt idx="49">
                  <c:v>0.17541778887193485</c:v>
                </c:pt>
                <c:pt idx="50">
                  <c:v>0.17242963454739585</c:v>
                </c:pt>
                <c:pt idx="51">
                  <c:v>0.17036620359669405</c:v>
                </c:pt>
                <c:pt idx="52">
                  <c:v>0.16613563595574021</c:v>
                </c:pt>
                <c:pt idx="53">
                  <c:v>0.15983128697812776</c:v>
                </c:pt>
                <c:pt idx="54">
                  <c:v>0.16387038343135202</c:v>
                </c:pt>
                <c:pt idx="55">
                  <c:v>0.17063393686302097</c:v>
                </c:pt>
                <c:pt idx="56">
                  <c:v>0.17913082438305197</c:v>
                </c:pt>
                <c:pt idx="57">
                  <c:v>0.18790244885219395</c:v>
                </c:pt>
                <c:pt idx="58">
                  <c:v>0.19470519394945923</c:v>
                </c:pt>
                <c:pt idx="59">
                  <c:v>0.20254254529839044</c:v>
                </c:pt>
                <c:pt idx="60">
                  <c:v>0.20641937164943785</c:v>
                </c:pt>
                <c:pt idx="61">
                  <c:v>0.21072435085487271</c:v>
                </c:pt>
                <c:pt idx="62">
                  <c:v>0.21687901911516111</c:v>
                </c:pt>
                <c:pt idx="63">
                  <c:v>0.22065770226520454</c:v>
                </c:pt>
                <c:pt idx="64">
                  <c:v>0.22324906218906665</c:v>
                </c:pt>
                <c:pt idx="65">
                  <c:v>0.22393599955342242</c:v>
                </c:pt>
                <c:pt idx="66">
                  <c:v>0.22369101356991097</c:v>
                </c:pt>
                <c:pt idx="67">
                  <c:v>0.22656826160105531</c:v>
                </c:pt>
                <c:pt idx="68">
                  <c:v>0.23238073441147339</c:v>
                </c:pt>
                <c:pt idx="69">
                  <c:v>0.23672485986056147</c:v>
                </c:pt>
                <c:pt idx="70">
                  <c:v>0.24295983758199885</c:v>
                </c:pt>
                <c:pt idx="71">
                  <c:v>0.25038060849323335</c:v>
                </c:pt>
                <c:pt idx="72">
                  <c:v>0.25591597290967999</c:v>
                </c:pt>
                <c:pt idx="73">
                  <c:v>0.26145440402900211</c:v>
                </c:pt>
                <c:pt idx="74">
                  <c:v>0.26346038679847422</c:v>
                </c:pt>
                <c:pt idx="75">
                  <c:v>0.26354848795181957</c:v>
                </c:pt>
                <c:pt idx="76">
                  <c:v>0.26013898751803566</c:v>
                </c:pt>
                <c:pt idx="77">
                  <c:v>0.25622855224376578</c:v>
                </c:pt>
                <c:pt idx="78">
                  <c:v>0.25496703658964881</c:v>
                </c:pt>
                <c:pt idx="79">
                  <c:v>0.25835871009717892</c:v>
                </c:pt>
                <c:pt idx="80">
                  <c:v>0.26277685072680879</c:v>
                </c:pt>
                <c:pt idx="81">
                  <c:v>0.25681071255253712</c:v>
                </c:pt>
                <c:pt idx="82">
                  <c:v>0.25819892854031112</c:v>
                </c:pt>
                <c:pt idx="83">
                  <c:v>0.25439803375305492</c:v>
                </c:pt>
                <c:pt idx="84">
                  <c:v>0.24633117386195905</c:v>
                </c:pt>
                <c:pt idx="85">
                  <c:v>0.24127879832046331</c:v>
                </c:pt>
                <c:pt idx="86">
                  <c:v>0.23782597807709832</c:v>
                </c:pt>
                <c:pt idx="87">
                  <c:v>0.23413777280907866</c:v>
                </c:pt>
                <c:pt idx="88">
                  <c:v>0.23439483266984573</c:v>
                </c:pt>
                <c:pt idx="89">
                  <c:v>0.23252757311434796</c:v>
                </c:pt>
                <c:pt idx="90">
                  <c:v>0.23080875254664401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1552"/>
        <c:axId val="659864296"/>
      </c:areaChart>
      <c:catAx>
        <c:axId val="65986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64296"/>
        <c:crosses val="autoZero"/>
        <c:auto val="1"/>
        <c:lblAlgn val="ctr"/>
        <c:lblOffset val="100"/>
        <c:noMultiLvlLbl val="0"/>
      </c:catAx>
      <c:valAx>
        <c:axId val="659864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61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Without</a:t>
            </a:r>
            <a:r>
              <a:rPr lang="en-US" baseline="0"/>
              <a:t> Inflation</a:t>
            </a:r>
          </a:p>
        </c:rich>
      </c:tx>
      <c:layout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'Investigate Inflation-Returns'!$G$15</c:f>
              <c:strCache>
                <c:ptCount val="1"/>
                <c:pt idx="0">
                  <c:v>Stock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'Investigate Inflation-Returns'!$A$17:$A$106</c:f>
              <c:numCache>
                <c:formatCode>General</c:formatCode>
                <c:ptCount val="90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  <c:pt idx="56">
                  <c:v>1984</c:v>
                </c:pt>
                <c:pt idx="57">
                  <c:v>1985</c:v>
                </c:pt>
                <c:pt idx="58">
                  <c:v>1986</c:v>
                </c:pt>
                <c:pt idx="59">
                  <c:v>1987</c:v>
                </c:pt>
                <c:pt idx="60">
                  <c:v>1988</c:v>
                </c:pt>
                <c:pt idx="61">
                  <c:v>1989</c:v>
                </c:pt>
                <c:pt idx="62">
                  <c:v>1990</c:v>
                </c:pt>
                <c:pt idx="63">
                  <c:v>1991</c:v>
                </c:pt>
                <c:pt idx="64">
                  <c:v>1992</c:v>
                </c:pt>
                <c:pt idx="65">
                  <c:v>1993</c:v>
                </c:pt>
                <c:pt idx="66">
                  <c:v>1994</c:v>
                </c:pt>
                <c:pt idx="67">
                  <c:v>1995</c:v>
                </c:pt>
                <c:pt idx="68">
                  <c:v>1996</c:v>
                </c:pt>
                <c:pt idx="69">
                  <c:v>1997</c:v>
                </c:pt>
                <c:pt idx="70">
                  <c:v>1998</c:v>
                </c:pt>
                <c:pt idx="71">
                  <c:v>1999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</c:numCache>
            </c:numRef>
          </c:cat>
          <c:val>
            <c:numRef>
              <c:f>'Investigate Inflation-Returns'!$G$16:$G$106</c:f>
              <c:numCache>
                <c:formatCode>General</c:formatCode>
                <c:ptCount val="91"/>
                <c:pt idx="0">
                  <c:v>0.8</c:v>
                </c:pt>
                <c:pt idx="1">
                  <c:v>1.1504799999999999</c:v>
                </c:pt>
                <c:pt idx="2">
                  <c:v>1.05499016</c:v>
                </c:pt>
                <c:pt idx="3">
                  <c:v>0.78997663180800004</c:v>
                </c:pt>
                <c:pt idx="4">
                  <c:v>0.44365087642337281</c:v>
                </c:pt>
                <c:pt idx="5">
                  <c:v>0.40531944070039339</c:v>
                </c:pt>
                <c:pt idx="6">
                  <c:v>0.60789809716245002</c:v>
                </c:pt>
                <c:pt idx="7">
                  <c:v>0.60066410980621687</c:v>
                </c:pt>
                <c:pt idx="8">
                  <c:v>0.88141451472964261</c:v>
                </c:pt>
                <c:pt idx="9">
                  <c:v>1.1629383107342903</c:v>
                </c:pt>
                <c:pt idx="10">
                  <c:v>0.75195591172079224</c:v>
                </c:pt>
                <c:pt idx="11">
                  <c:v>0.97212860267264012</c:v>
                </c:pt>
                <c:pt idx="12">
                  <c:v>0.96143518804324102</c:v>
                </c:pt>
                <c:pt idx="13">
                  <c:v>0.85885005347902721</c:v>
                </c:pt>
                <c:pt idx="14">
                  <c:v>0.74917490164975542</c:v>
                </c:pt>
                <c:pt idx="15">
                  <c:v>0.89279173029601355</c:v>
                </c:pt>
                <c:pt idx="16">
                  <c:v>1.1165253379081945</c:v>
                </c:pt>
                <c:pt idx="17">
                  <c:v>1.3290001097121238</c:v>
                </c:pt>
                <c:pt idx="18">
                  <c:v>1.8050479490110067</c:v>
                </c:pt>
                <c:pt idx="19">
                  <c:v>1.6528824069093788</c:v>
                </c:pt>
                <c:pt idx="20">
                  <c:v>1.7388322920686665</c:v>
                </c:pt>
                <c:pt idx="21">
                  <c:v>1.8379457327165805</c:v>
                </c:pt>
                <c:pt idx="22">
                  <c:v>2.1742898018037149</c:v>
                </c:pt>
                <c:pt idx="23">
                  <c:v>2.8441884897394396</c:v>
                </c:pt>
                <c:pt idx="24">
                  <c:v>3.5176923241097393</c:v>
                </c:pt>
                <c:pt idx="25">
                  <c:v>4.1561534809356573</c:v>
                </c:pt>
                <c:pt idx="26">
                  <c:v>4.105864023816336</c:v>
                </c:pt>
                <c:pt idx="27">
                  <c:v>6.2639061547342019</c:v>
                </c:pt>
                <c:pt idx="28">
                  <c:v>8.3059395611775528</c:v>
                </c:pt>
                <c:pt idx="29">
                  <c:v>8.9239014645291626</c:v>
                </c:pt>
                <c:pt idx="30">
                  <c:v>7.9904613713394115</c:v>
                </c:pt>
                <c:pt idx="31">
                  <c:v>11.483891082889002</c:v>
                </c:pt>
                <c:pt idx="32">
                  <c:v>12.868848347485416</c:v>
                </c:pt>
                <c:pt idx="33">
                  <c:v>12.912602431866867</c:v>
                </c:pt>
                <c:pt idx="34">
                  <c:v>16.352519719716199</c:v>
                </c:pt>
                <c:pt idx="35">
                  <c:v>14.911862732409203</c:v>
                </c:pt>
                <c:pt idx="36">
                  <c:v>18.283434896206924</c:v>
                </c:pt>
                <c:pt idx="37">
                  <c:v>21.285574906164104</c:v>
                </c:pt>
                <c:pt idx="38">
                  <c:v>23.924986194528454</c:v>
                </c:pt>
                <c:pt idx="39">
                  <c:v>21.539665070933967</c:v>
                </c:pt>
                <c:pt idx="40">
                  <c:v>26.666105357816253</c:v>
                </c:pt>
                <c:pt idx="41">
                  <c:v>29.548711346996193</c:v>
                </c:pt>
                <c:pt idx="42">
                  <c:v>27.113897532003705</c:v>
                </c:pt>
                <c:pt idx="43">
                  <c:v>28.079152284143039</c:v>
                </c:pt>
                <c:pt idx="44">
                  <c:v>32.072007738948173</c:v>
                </c:pt>
                <c:pt idx="45">
                  <c:v>38.088716390774849</c:v>
                </c:pt>
                <c:pt idx="46">
                  <c:v>32.638221075254968</c:v>
                </c:pt>
                <c:pt idx="47">
                  <c:v>24.184921816763932</c:v>
                </c:pt>
                <c:pt idx="48">
                  <c:v>33.133342888966588</c:v>
                </c:pt>
                <c:pt idx="49">
                  <c:v>41.029018499407321</c:v>
                </c:pt>
                <c:pt idx="50">
                  <c:v>38.165193008148691</c:v>
                </c:pt>
                <c:pt idx="51">
                  <c:v>40.649747072979167</c:v>
                </c:pt>
                <c:pt idx="52">
                  <c:v>48.178080230894913</c:v>
                </c:pt>
                <c:pt idx="53">
                  <c:v>63.469802896180965</c:v>
                </c:pt>
                <c:pt idx="54">
                  <c:v>60.486722160060459</c:v>
                </c:pt>
                <c:pt idx="55">
                  <c:v>72.838110825144796</c:v>
                </c:pt>
                <c:pt idx="56">
                  <c:v>89.110144783482141</c:v>
                </c:pt>
                <c:pt idx="57">
                  <c:v>94.5904186876663</c:v>
                </c:pt>
                <c:pt idx="58">
                  <c:v>124.14046548569326</c:v>
                </c:pt>
                <c:pt idx="59">
                  <c:v>147.09403755399794</c:v>
                </c:pt>
                <c:pt idx="60">
                  <c:v>155.64020113588523</c:v>
                </c:pt>
                <c:pt idx="61">
                  <c:v>181.38309040376066</c:v>
                </c:pt>
                <c:pt idx="62">
                  <c:v>238.48248726286451</c:v>
                </c:pt>
                <c:pt idx="63">
                  <c:v>231.18492315262085</c:v>
                </c:pt>
                <c:pt idx="64">
                  <c:v>301.07212542165814</c:v>
                </c:pt>
                <c:pt idx="65">
                  <c:v>323.62242761574032</c:v>
                </c:pt>
                <c:pt idx="66">
                  <c:v>355.88758364902958</c:v>
                </c:pt>
                <c:pt idx="67">
                  <c:v>360.6208885115617</c:v>
                </c:pt>
                <c:pt idx="68">
                  <c:v>494.77185903786261</c:v>
                </c:pt>
                <c:pt idx="69">
                  <c:v>606.98611666764975</c:v>
                </c:pt>
                <c:pt idx="70">
                  <c:v>807.89852128464179</c:v>
                </c:pt>
                <c:pt idx="71">
                  <c:v>1036.8569622167092</c:v>
                </c:pt>
                <c:pt idx="72">
                  <c:v>1253.4563816237799</c:v>
                </c:pt>
                <c:pt idx="73">
                  <c:v>1140.2692703631524</c:v>
                </c:pt>
                <c:pt idx="74">
                  <c:v>1005.1473618251188</c:v>
                </c:pt>
                <c:pt idx="75">
                  <c:v>784.31648643214021</c:v>
                </c:pt>
                <c:pt idx="76">
                  <c:v>1006.7486419842952</c:v>
                </c:pt>
                <c:pt idx="77">
                  <c:v>1114.8734461334084</c:v>
                </c:pt>
                <c:pt idx="78">
                  <c:v>1168.7218335816519</c:v>
                </c:pt>
                <c:pt idx="79">
                  <c:v>1351.1593118037476</c:v>
                </c:pt>
                <c:pt idx="80">
                  <c:v>1425.2028420905929</c:v>
                </c:pt>
                <c:pt idx="81">
                  <c:v>904.29120330648129</c:v>
                </c:pt>
                <c:pt idx="82">
                  <c:v>1138.8643414441826</c:v>
                </c:pt>
                <c:pt idx="83">
                  <c:v>1307.6440368462106</c:v>
                </c:pt>
                <c:pt idx="84">
                  <c:v>1335.1045616199808</c:v>
                </c:pt>
                <c:pt idx="85">
                  <c:v>1547.2526764613958</c:v>
                </c:pt>
                <c:pt idx="86">
                  <c:v>2044.6944119437344</c:v>
                </c:pt>
                <c:pt idx="87">
                  <c:v>2321.1370964385274</c:v>
                </c:pt>
                <c:pt idx="88">
                  <c:v>2353.1687883693789</c:v>
                </c:pt>
                <c:pt idx="89">
                  <c:v>2630.1367547604546</c:v>
                </c:pt>
                <c:pt idx="90">
                  <c:v>3199.2983484906167</c:v>
                </c:pt>
              </c:numCache>
            </c:numRef>
          </c:val>
        </c:ser>
        <c:ser>
          <c:idx val="1"/>
          <c:order val="1"/>
          <c:tx>
            <c:strRef>
              <c:f>'Investigate Inflation-Returns'!$H$15</c:f>
              <c:strCache>
                <c:ptCount val="1"/>
                <c:pt idx="0">
                  <c:v>Bond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'Investigate Inflation-Returns'!$A$17:$A$106</c:f>
              <c:numCache>
                <c:formatCode>General</c:formatCode>
                <c:ptCount val="90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  <c:pt idx="56">
                  <c:v>1984</c:v>
                </c:pt>
                <c:pt idx="57">
                  <c:v>1985</c:v>
                </c:pt>
                <c:pt idx="58">
                  <c:v>1986</c:v>
                </c:pt>
                <c:pt idx="59">
                  <c:v>1987</c:v>
                </c:pt>
                <c:pt idx="60">
                  <c:v>1988</c:v>
                </c:pt>
                <c:pt idx="61">
                  <c:v>1989</c:v>
                </c:pt>
                <c:pt idx="62">
                  <c:v>1990</c:v>
                </c:pt>
                <c:pt idx="63">
                  <c:v>1991</c:v>
                </c:pt>
                <c:pt idx="64">
                  <c:v>1992</c:v>
                </c:pt>
                <c:pt idx="65">
                  <c:v>1993</c:v>
                </c:pt>
                <c:pt idx="66">
                  <c:v>1994</c:v>
                </c:pt>
                <c:pt idx="67">
                  <c:v>1995</c:v>
                </c:pt>
                <c:pt idx="68">
                  <c:v>1996</c:v>
                </c:pt>
                <c:pt idx="69">
                  <c:v>1997</c:v>
                </c:pt>
                <c:pt idx="70">
                  <c:v>1998</c:v>
                </c:pt>
                <c:pt idx="71">
                  <c:v>1999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</c:numCache>
            </c:numRef>
          </c:cat>
          <c:val>
            <c:numRef>
              <c:f>'Investigate Inflation-Returns'!$H$16:$H$106</c:f>
              <c:numCache>
                <c:formatCode>General</c:formatCode>
                <c:ptCount val="91"/>
                <c:pt idx="0">
                  <c:v>0.19999999999999996</c:v>
                </c:pt>
                <c:pt idx="1">
                  <c:v>0.20167999999999994</c:v>
                </c:pt>
                <c:pt idx="2">
                  <c:v>0.21015055999999996</c:v>
                </c:pt>
                <c:pt idx="3">
                  <c:v>0.21969139542399999</c:v>
                </c:pt>
                <c:pt idx="4">
                  <c:v>0.2140672957011456</c:v>
                </c:pt>
                <c:pt idx="5">
                  <c:v>0.23288381099327632</c:v>
                </c:pt>
                <c:pt idx="6">
                  <c:v>0.23721544987775126</c:v>
                </c:pt>
                <c:pt idx="7">
                  <c:v>0.25609779968802027</c:v>
                </c:pt>
                <c:pt idx="8">
                  <c:v>0.26754537133407474</c:v>
                </c:pt>
                <c:pt idx="9">
                  <c:v>0.2809761489750453</c:v>
                </c:pt>
                <c:pt idx="10">
                  <c:v>0.28485361983090096</c:v>
                </c:pt>
                <c:pt idx="11">
                  <c:v>0.29684595722578189</c:v>
                </c:pt>
                <c:pt idx="12">
                  <c:v>0.30993686393943887</c:v>
                </c:pt>
                <c:pt idx="13">
                  <c:v>0.32667345459216857</c:v>
                </c:pt>
                <c:pt idx="14">
                  <c:v>0.32007465080940678</c:v>
                </c:pt>
                <c:pt idx="15">
                  <c:v>0.32740436031294218</c:v>
                </c:pt>
                <c:pt idx="16">
                  <c:v>0.33555672888473442</c:v>
                </c:pt>
                <c:pt idx="17">
                  <c:v>0.3442140924899606</c:v>
                </c:pt>
                <c:pt idx="18">
                  <c:v>0.35729422800457911</c:v>
                </c:pt>
                <c:pt idx="19">
                  <c:v>0.36847753734112249</c:v>
                </c:pt>
                <c:pt idx="20">
                  <c:v>0.37186753068466083</c:v>
                </c:pt>
                <c:pt idx="21">
                  <c:v>0.37911894753301173</c:v>
                </c:pt>
                <c:pt idx="22">
                  <c:v>0.39678589048805007</c:v>
                </c:pt>
                <c:pt idx="23">
                  <c:v>0.39849206981714869</c:v>
                </c:pt>
                <c:pt idx="24">
                  <c:v>0.39729659360769726</c:v>
                </c:pt>
                <c:pt idx="25">
                  <c:v>0.40631522628259198</c:v>
                </c:pt>
                <c:pt idx="26">
                  <c:v>0.42313667665069132</c:v>
                </c:pt>
                <c:pt idx="27">
                  <c:v>0.43705787331249901</c:v>
                </c:pt>
                <c:pt idx="28">
                  <c:v>0.43120129781011152</c:v>
                </c:pt>
                <c:pt idx="29">
                  <c:v>0.421456148479603</c:v>
                </c:pt>
                <c:pt idx="30">
                  <c:v>0.45011516657621603</c:v>
                </c:pt>
                <c:pt idx="31">
                  <c:v>0.44066274807811551</c:v>
                </c:pt>
                <c:pt idx="32">
                  <c:v>0.42898518525404544</c:v>
                </c:pt>
                <c:pt idx="33">
                  <c:v>0.47891906081761637</c:v>
                </c:pt>
                <c:pt idx="34">
                  <c:v>0.48878479347045922</c:v>
                </c:pt>
                <c:pt idx="35">
                  <c:v>0.51659664821892837</c:v>
                </c:pt>
                <c:pt idx="36">
                  <c:v>0.52527547190900636</c:v>
                </c:pt>
                <c:pt idx="37">
                  <c:v>0.54486824701121239</c:v>
                </c:pt>
                <c:pt idx="38">
                  <c:v>0.54879129838969321</c:v>
                </c:pt>
                <c:pt idx="39">
                  <c:v>0.56476112517283328</c:v>
                </c:pt>
                <c:pt idx="40">
                  <c:v>0.55583789939510253</c:v>
                </c:pt>
                <c:pt idx="41">
                  <c:v>0.57401379870532232</c:v>
                </c:pt>
                <c:pt idx="42">
                  <c:v>0.5452557073901857</c:v>
                </c:pt>
                <c:pt idx="43">
                  <c:v>0.63658603837804184</c:v>
                </c:pt>
                <c:pt idx="44">
                  <c:v>0.69890781153525217</c:v>
                </c:pt>
                <c:pt idx="45">
                  <c:v>0.71861701182054627</c:v>
                </c:pt>
                <c:pt idx="46">
                  <c:v>0.7449183944531782</c:v>
                </c:pt>
                <c:pt idx="47">
                  <c:v>0.75974227050279652</c:v>
                </c:pt>
                <c:pt idx="48">
                  <c:v>0.78716896646794754</c:v>
                </c:pt>
                <c:pt idx="49">
                  <c:v>0.91295856730952551</c:v>
                </c:pt>
                <c:pt idx="50">
                  <c:v>0.92473573282781829</c:v>
                </c:pt>
                <c:pt idx="51">
                  <c:v>0.9175227941117613</c:v>
                </c:pt>
                <c:pt idx="52">
                  <c:v>0.92367019683231</c:v>
                </c:pt>
                <c:pt idx="53">
                  <c:v>0.89605245794702393</c:v>
                </c:pt>
                <c:pt idx="54">
                  <c:v>0.96952875949868</c:v>
                </c:pt>
                <c:pt idx="55">
                  <c:v>1.287631145490197</c:v>
                </c:pt>
                <c:pt idx="56">
                  <c:v>1.3288353421458834</c:v>
                </c:pt>
                <c:pt idx="57">
                  <c:v>1.5112844346225132</c:v>
                </c:pt>
                <c:pt idx="58">
                  <c:v>1.8998356627639612</c:v>
                </c:pt>
                <c:pt idx="59">
                  <c:v>2.3611157616830507</c:v>
                </c:pt>
                <c:pt idx="60">
                  <c:v>2.2440044199035714</c:v>
                </c:pt>
                <c:pt idx="61">
                  <c:v>2.428461583219645</c:v>
                </c:pt>
                <c:pt idx="62">
                  <c:v>2.8580564372912005</c:v>
                </c:pt>
                <c:pt idx="63">
                  <c:v>3.0363991589781714</c:v>
                </c:pt>
                <c:pt idx="64">
                  <c:v>3.4918590328248968</c:v>
                </c:pt>
                <c:pt idx="65">
                  <c:v>3.8186970382973069</c:v>
                </c:pt>
                <c:pt idx="66">
                  <c:v>4.361333887439355</c:v>
                </c:pt>
                <c:pt idx="67">
                  <c:v>4.0106826428892308</c:v>
                </c:pt>
                <c:pt idx="68">
                  <c:v>4.9523909274396214</c:v>
                </c:pt>
                <c:pt idx="69">
                  <c:v>5.0232101177020079</c:v>
                </c:pt>
                <c:pt idx="70">
                  <c:v>5.5225172034015868</c:v>
                </c:pt>
                <c:pt idx="71">
                  <c:v>6.3464767701491036</c:v>
                </c:pt>
                <c:pt idx="72">
                  <c:v>5.8228924366118022</c:v>
                </c:pt>
                <c:pt idx="73">
                  <c:v>6.7929863165513291</c:v>
                </c:pt>
                <c:pt idx="74">
                  <c:v>7.1713556543832384</c:v>
                </c:pt>
                <c:pt idx="75">
                  <c:v>8.2556646293259845</c:v>
                </c:pt>
                <c:pt idx="76">
                  <c:v>8.2870361549174234</c:v>
                </c:pt>
                <c:pt idx="77">
                  <c:v>8.6591240782732157</c:v>
                </c:pt>
                <c:pt idx="78">
                  <c:v>8.9076409393196574</c:v>
                </c:pt>
                <c:pt idx="79">
                  <c:v>9.0822307017303228</c:v>
                </c:pt>
                <c:pt idx="80">
                  <c:v>10.009526456376989</c:v>
                </c:pt>
                <c:pt idx="81">
                  <c:v>12.021441274108764</c:v>
                </c:pt>
                <c:pt idx="82">
                  <c:v>10.684657004427869</c:v>
                </c:pt>
                <c:pt idx="83">
                  <c:v>11.588578987002467</c:v>
                </c:pt>
                <c:pt idx="84">
                  <c:v>13.447387056517664</c:v>
                </c:pt>
                <c:pt idx="85">
                  <c:v>13.846774452096239</c:v>
                </c:pt>
                <c:pt idx="86">
                  <c:v>12.586717976955482</c:v>
                </c:pt>
                <c:pt idx="87">
                  <c:v>13.939790159478195</c:v>
                </c:pt>
                <c:pt idx="88">
                  <c:v>14.118219473519515</c:v>
                </c:pt>
                <c:pt idx="89">
                  <c:v>14.215635187886798</c:v>
                </c:pt>
                <c:pt idx="90">
                  <c:v>14.613672973147629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26720"/>
        <c:axId val="156130248"/>
      </c:areaChart>
      <c:catAx>
        <c:axId val="156126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130248"/>
        <c:crosses val="autoZero"/>
        <c:auto val="1"/>
        <c:lblAlgn val="ctr"/>
        <c:lblOffset val="100"/>
        <c:noMultiLvlLbl val="0"/>
      </c:catAx>
      <c:valAx>
        <c:axId val="15613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12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With</a:t>
            </a:r>
            <a:r>
              <a:rPr lang="en-US" baseline="0"/>
              <a:t> Inflation</a:t>
            </a:r>
          </a:p>
        </c:rich>
      </c:tx>
      <c:layout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'Investigate Inflation-Returns'!$J$15</c:f>
              <c:strCache>
                <c:ptCount val="1"/>
                <c:pt idx="0">
                  <c:v>Stock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'Investigate Inflation-Returns'!$A$17:$A$106</c:f>
              <c:numCache>
                <c:formatCode>General</c:formatCode>
                <c:ptCount val="90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  <c:pt idx="56">
                  <c:v>1984</c:v>
                </c:pt>
                <c:pt idx="57">
                  <c:v>1985</c:v>
                </c:pt>
                <c:pt idx="58">
                  <c:v>1986</c:v>
                </c:pt>
                <c:pt idx="59">
                  <c:v>1987</c:v>
                </c:pt>
                <c:pt idx="60">
                  <c:v>1988</c:v>
                </c:pt>
                <c:pt idx="61">
                  <c:v>1989</c:v>
                </c:pt>
                <c:pt idx="62">
                  <c:v>1990</c:v>
                </c:pt>
                <c:pt idx="63">
                  <c:v>1991</c:v>
                </c:pt>
                <c:pt idx="64">
                  <c:v>1992</c:v>
                </c:pt>
                <c:pt idx="65">
                  <c:v>1993</c:v>
                </c:pt>
                <c:pt idx="66">
                  <c:v>1994</c:v>
                </c:pt>
                <c:pt idx="67">
                  <c:v>1995</c:v>
                </c:pt>
                <c:pt idx="68">
                  <c:v>1996</c:v>
                </c:pt>
                <c:pt idx="69">
                  <c:v>1997</c:v>
                </c:pt>
                <c:pt idx="70">
                  <c:v>1998</c:v>
                </c:pt>
                <c:pt idx="71">
                  <c:v>1999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</c:numCache>
            </c:numRef>
          </c:cat>
          <c:val>
            <c:numRef>
              <c:f>'Investigate Inflation-Returns'!$J$16:$J$39</c:f>
              <c:numCache>
                <c:formatCode>General</c:formatCode>
                <c:ptCount val="24"/>
                <c:pt idx="0">
                  <c:v>0.8</c:v>
                </c:pt>
                <c:pt idx="1">
                  <c:v>1.1700381599999998</c:v>
                </c:pt>
                <c:pt idx="2">
                  <c:v>1.07292499272</c:v>
                </c:pt>
                <c:pt idx="3">
                  <c:v>0.8218845779433569</c:v>
                </c:pt>
                <c:pt idx="4">
                  <c:v>0.50311171308055835</c:v>
                </c:pt>
                <c:pt idx="5">
                  <c:v>0.50514750431636746</c:v>
                </c:pt>
                <c:pt idx="6">
                  <c:v>0.79625885854934597</c:v>
                </c:pt>
                <c:pt idx="7">
                  <c:v>0.76239309341049788</c:v>
                </c:pt>
                <c:pt idx="8">
                  <c:v>1.0941234415146122</c:v>
                </c:pt>
                <c:pt idx="9">
                  <c:v>1.4219326717033633</c:v>
                </c:pt>
                <c:pt idx="10">
                  <c:v>0.88632248556455262</c:v>
                </c:pt>
                <c:pt idx="11">
                  <c:v>1.1699003012339484</c:v>
                </c:pt>
                <c:pt idx="12">
                  <c:v>1.1732298374912602</c:v>
                </c:pt>
                <c:pt idx="13">
                  <c:v>1.0407098903341261</c:v>
                </c:pt>
                <c:pt idx="14">
                  <c:v>0.86242067547153523</c:v>
                </c:pt>
                <c:pt idx="15">
                  <c:v>0.9157223265928508</c:v>
                </c:pt>
                <c:pt idx="16">
                  <c:v>1.0753449987971611</c:v>
                </c:pt>
                <c:pt idx="17">
                  <c:v>1.2582234384831004</c:v>
                </c:pt>
                <c:pt idx="18">
                  <c:v>1.6696139354423487</c:v>
                </c:pt>
                <c:pt idx="19">
                  <c:v>1.4019696457877404</c:v>
                </c:pt>
                <c:pt idx="20">
                  <c:v>1.2624904896676097</c:v>
                </c:pt>
                <c:pt idx="21">
                  <c:v>1.2263617993247917</c:v>
                </c:pt>
                <c:pt idx="22">
                  <c:v>1.4681954407044435</c:v>
                </c:pt>
                <c:pt idx="23">
                  <c:v>1.8955793520576714</c:v>
                </c:pt>
              </c:numCache>
            </c:numRef>
          </c:val>
        </c:ser>
        <c:ser>
          <c:idx val="1"/>
          <c:order val="1"/>
          <c:tx>
            <c:strRef>
              <c:f>'Investigate Inflation-Returns'!$K$15</c:f>
              <c:strCache>
                <c:ptCount val="1"/>
                <c:pt idx="0">
                  <c:v>Bond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'Investigate Inflation-Returns'!$A$17:$A$106</c:f>
              <c:numCache>
                <c:formatCode>General</c:formatCode>
                <c:ptCount val="90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  <c:pt idx="56">
                  <c:v>1984</c:v>
                </c:pt>
                <c:pt idx="57">
                  <c:v>1985</c:v>
                </c:pt>
                <c:pt idx="58">
                  <c:v>1986</c:v>
                </c:pt>
                <c:pt idx="59">
                  <c:v>1987</c:v>
                </c:pt>
                <c:pt idx="60">
                  <c:v>1988</c:v>
                </c:pt>
                <c:pt idx="61">
                  <c:v>1989</c:v>
                </c:pt>
                <c:pt idx="62">
                  <c:v>1990</c:v>
                </c:pt>
                <c:pt idx="63">
                  <c:v>1991</c:v>
                </c:pt>
                <c:pt idx="64">
                  <c:v>1992</c:v>
                </c:pt>
                <c:pt idx="65">
                  <c:v>1993</c:v>
                </c:pt>
                <c:pt idx="66">
                  <c:v>1994</c:v>
                </c:pt>
                <c:pt idx="67">
                  <c:v>1995</c:v>
                </c:pt>
                <c:pt idx="68">
                  <c:v>1996</c:v>
                </c:pt>
                <c:pt idx="69">
                  <c:v>1997</c:v>
                </c:pt>
                <c:pt idx="70">
                  <c:v>1998</c:v>
                </c:pt>
                <c:pt idx="71">
                  <c:v>1999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</c:numCache>
            </c:numRef>
          </c:cat>
          <c:val>
            <c:numRef>
              <c:f>'Investigate Inflation-Returns'!$K$16:$K$39</c:f>
              <c:numCache>
                <c:formatCode>General</c:formatCode>
                <c:ptCount val="24"/>
                <c:pt idx="0">
                  <c:v>0.19999999999999996</c:v>
                </c:pt>
                <c:pt idx="1">
                  <c:v>0.20966471999999994</c:v>
                </c:pt>
                <c:pt idx="2">
                  <c:v>0.21629012515199997</c:v>
                </c:pt>
                <c:pt idx="3">
                  <c:v>0.23133234634088354</c:v>
                </c:pt>
                <c:pt idx="4">
                  <c:v>0.25797697466008013</c:v>
                </c:pt>
                <c:pt idx="5">
                  <c:v>0.28655032378954831</c:v>
                </c:pt>
                <c:pt idx="6">
                  <c:v>0.30405556844972231</c:v>
                </c:pt>
                <c:pt idx="7">
                  <c:v>0.29557266133442983</c:v>
                </c:pt>
                <c:pt idx="8">
                  <c:v>0.28959038889808553</c:v>
                </c:pt>
                <c:pt idx="9">
                  <c:v>0.28573145217082407</c:v>
                </c:pt>
                <c:pt idx="10">
                  <c:v>0.27627145525235236</c:v>
                </c:pt>
                <c:pt idx="11">
                  <c:v>0.28229881433730186</c:v>
                </c:pt>
                <c:pt idx="12">
                  <c:v>0.28636549813711926</c:v>
                </c:pt>
                <c:pt idx="13">
                  <c:v>0.28444624793205442</c:v>
                </c:pt>
                <c:pt idx="14">
                  <c:v>0.27044011468388007</c:v>
                </c:pt>
                <c:pt idx="15">
                  <c:v>0.24178141346676052</c:v>
                </c:pt>
                <c:pt idx="16">
                  <c:v>0.22789547168482024</c:v>
                </c:pt>
                <c:pt idx="17">
                  <c:v>0.22487252941110977</c:v>
                </c:pt>
                <c:pt idx="18">
                  <c:v>0.22053532298734593</c:v>
                </c:pt>
                <c:pt idx="19">
                  <c:v>0.20299936856587794</c:v>
                </c:pt>
                <c:pt idx="20">
                  <c:v>0.17475793401149814</c:v>
                </c:pt>
                <c:pt idx="21">
                  <c:v>0.16224068727840377</c:v>
                </c:pt>
                <c:pt idx="22">
                  <c:v>0.16599363885652776</c:v>
                </c:pt>
                <c:pt idx="23">
                  <c:v>0.16575259949354421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3888872"/>
        <c:axId val="743894360"/>
      </c:areaChart>
      <c:catAx>
        <c:axId val="743888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894360"/>
        <c:crosses val="autoZero"/>
        <c:auto val="1"/>
        <c:lblAlgn val="ctr"/>
        <c:lblOffset val="100"/>
        <c:noMultiLvlLbl val="0"/>
      </c:catAx>
      <c:valAx>
        <c:axId val="743894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888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Without</a:t>
            </a:r>
            <a:r>
              <a:rPr lang="en-US" baseline="0"/>
              <a:t> Inflation</a:t>
            </a:r>
          </a:p>
        </c:rich>
      </c:tx>
      <c:layout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'Investigate Inflation-Returns'!$G$15</c:f>
              <c:strCache>
                <c:ptCount val="1"/>
                <c:pt idx="0">
                  <c:v>Stock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'Investigate Inflation-Returns'!$A$17:$A$106</c:f>
              <c:numCache>
                <c:formatCode>General</c:formatCode>
                <c:ptCount val="90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  <c:pt idx="56">
                  <c:v>1984</c:v>
                </c:pt>
                <c:pt idx="57">
                  <c:v>1985</c:v>
                </c:pt>
                <c:pt idx="58">
                  <c:v>1986</c:v>
                </c:pt>
                <c:pt idx="59">
                  <c:v>1987</c:v>
                </c:pt>
                <c:pt idx="60">
                  <c:v>1988</c:v>
                </c:pt>
                <c:pt idx="61">
                  <c:v>1989</c:v>
                </c:pt>
                <c:pt idx="62">
                  <c:v>1990</c:v>
                </c:pt>
                <c:pt idx="63">
                  <c:v>1991</c:v>
                </c:pt>
                <c:pt idx="64">
                  <c:v>1992</c:v>
                </c:pt>
                <c:pt idx="65">
                  <c:v>1993</c:v>
                </c:pt>
                <c:pt idx="66">
                  <c:v>1994</c:v>
                </c:pt>
                <c:pt idx="67">
                  <c:v>1995</c:v>
                </c:pt>
                <c:pt idx="68">
                  <c:v>1996</c:v>
                </c:pt>
                <c:pt idx="69">
                  <c:v>1997</c:v>
                </c:pt>
                <c:pt idx="70">
                  <c:v>1998</c:v>
                </c:pt>
                <c:pt idx="71">
                  <c:v>1999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</c:numCache>
            </c:numRef>
          </c:cat>
          <c:val>
            <c:numRef>
              <c:f>'Investigate Inflation-Returns'!$G$16:$G$39</c:f>
              <c:numCache>
                <c:formatCode>General</c:formatCode>
                <c:ptCount val="24"/>
                <c:pt idx="0">
                  <c:v>0.8</c:v>
                </c:pt>
                <c:pt idx="1">
                  <c:v>1.1504799999999999</c:v>
                </c:pt>
                <c:pt idx="2">
                  <c:v>1.05499016</c:v>
                </c:pt>
                <c:pt idx="3">
                  <c:v>0.78997663180800004</c:v>
                </c:pt>
                <c:pt idx="4">
                  <c:v>0.44365087642337281</c:v>
                </c:pt>
                <c:pt idx="5">
                  <c:v>0.40531944070039339</c:v>
                </c:pt>
                <c:pt idx="6">
                  <c:v>0.60789809716245002</c:v>
                </c:pt>
                <c:pt idx="7">
                  <c:v>0.60066410980621687</c:v>
                </c:pt>
                <c:pt idx="8">
                  <c:v>0.88141451472964261</c:v>
                </c:pt>
                <c:pt idx="9">
                  <c:v>1.1629383107342903</c:v>
                </c:pt>
                <c:pt idx="10">
                  <c:v>0.75195591172079224</c:v>
                </c:pt>
                <c:pt idx="11">
                  <c:v>0.97212860267264012</c:v>
                </c:pt>
                <c:pt idx="12">
                  <c:v>0.96143518804324102</c:v>
                </c:pt>
                <c:pt idx="13">
                  <c:v>0.85885005347902721</c:v>
                </c:pt>
                <c:pt idx="14">
                  <c:v>0.74917490164975542</c:v>
                </c:pt>
                <c:pt idx="15">
                  <c:v>0.89279173029601355</c:v>
                </c:pt>
                <c:pt idx="16">
                  <c:v>1.1165253379081945</c:v>
                </c:pt>
                <c:pt idx="17">
                  <c:v>1.3290001097121238</c:v>
                </c:pt>
                <c:pt idx="18">
                  <c:v>1.8050479490110067</c:v>
                </c:pt>
                <c:pt idx="19">
                  <c:v>1.6528824069093788</c:v>
                </c:pt>
                <c:pt idx="20">
                  <c:v>1.7388322920686665</c:v>
                </c:pt>
                <c:pt idx="21">
                  <c:v>1.8379457327165805</c:v>
                </c:pt>
                <c:pt idx="22">
                  <c:v>2.1742898018037149</c:v>
                </c:pt>
                <c:pt idx="23">
                  <c:v>2.8441884897394396</c:v>
                </c:pt>
              </c:numCache>
            </c:numRef>
          </c:val>
        </c:ser>
        <c:ser>
          <c:idx val="1"/>
          <c:order val="1"/>
          <c:tx>
            <c:strRef>
              <c:f>'Investigate Inflation-Returns'!$H$15</c:f>
              <c:strCache>
                <c:ptCount val="1"/>
                <c:pt idx="0">
                  <c:v>Bond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'Investigate Inflation-Returns'!$A$17:$A$106</c:f>
              <c:numCache>
                <c:formatCode>General</c:formatCode>
                <c:ptCount val="90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  <c:pt idx="56">
                  <c:v>1984</c:v>
                </c:pt>
                <c:pt idx="57">
                  <c:v>1985</c:v>
                </c:pt>
                <c:pt idx="58">
                  <c:v>1986</c:v>
                </c:pt>
                <c:pt idx="59">
                  <c:v>1987</c:v>
                </c:pt>
                <c:pt idx="60">
                  <c:v>1988</c:v>
                </c:pt>
                <c:pt idx="61">
                  <c:v>1989</c:v>
                </c:pt>
                <c:pt idx="62">
                  <c:v>1990</c:v>
                </c:pt>
                <c:pt idx="63">
                  <c:v>1991</c:v>
                </c:pt>
                <c:pt idx="64">
                  <c:v>1992</c:v>
                </c:pt>
                <c:pt idx="65">
                  <c:v>1993</c:v>
                </c:pt>
                <c:pt idx="66">
                  <c:v>1994</c:v>
                </c:pt>
                <c:pt idx="67">
                  <c:v>1995</c:v>
                </c:pt>
                <c:pt idx="68">
                  <c:v>1996</c:v>
                </c:pt>
                <c:pt idx="69">
                  <c:v>1997</c:v>
                </c:pt>
                <c:pt idx="70">
                  <c:v>1998</c:v>
                </c:pt>
                <c:pt idx="71">
                  <c:v>1999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</c:numCache>
            </c:numRef>
          </c:cat>
          <c:val>
            <c:numRef>
              <c:f>'Investigate Inflation-Returns'!$H$16:$H$39</c:f>
              <c:numCache>
                <c:formatCode>General</c:formatCode>
                <c:ptCount val="24"/>
                <c:pt idx="0">
                  <c:v>0.19999999999999996</c:v>
                </c:pt>
                <c:pt idx="1">
                  <c:v>0.20167999999999994</c:v>
                </c:pt>
                <c:pt idx="2">
                  <c:v>0.21015055999999996</c:v>
                </c:pt>
                <c:pt idx="3">
                  <c:v>0.21969139542399999</c:v>
                </c:pt>
                <c:pt idx="4">
                  <c:v>0.2140672957011456</c:v>
                </c:pt>
                <c:pt idx="5">
                  <c:v>0.23288381099327632</c:v>
                </c:pt>
                <c:pt idx="6">
                  <c:v>0.23721544987775126</c:v>
                </c:pt>
                <c:pt idx="7">
                  <c:v>0.25609779968802027</c:v>
                </c:pt>
                <c:pt idx="8">
                  <c:v>0.26754537133407474</c:v>
                </c:pt>
                <c:pt idx="9">
                  <c:v>0.2809761489750453</c:v>
                </c:pt>
                <c:pt idx="10">
                  <c:v>0.28485361983090096</c:v>
                </c:pt>
                <c:pt idx="11">
                  <c:v>0.29684595722578189</c:v>
                </c:pt>
                <c:pt idx="12">
                  <c:v>0.30993686393943887</c:v>
                </c:pt>
                <c:pt idx="13">
                  <c:v>0.32667345459216857</c:v>
                </c:pt>
                <c:pt idx="14">
                  <c:v>0.32007465080940678</c:v>
                </c:pt>
                <c:pt idx="15">
                  <c:v>0.32740436031294218</c:v>
                </c:pt>
                <c:pt idx="16">
                  <c:v>0.33555672888473442</c:v>
                </c:pt>
                <c:pt idx="17">
                  <c:v>0.3442140924899606</c:v>
                </c:pt>
                <c:pt idx="18">
                  <c:v>0.35729422800457911</c:v>
                </c:pt>
                <c:pt idx="19">
                  <c:v>0.36847753734112249</c:v>
                </c:pt>
                <c:pt idx="20">
                  <c:v>0.37186753068466083</c:v>
                </c:pt>
                <c:pt idx="21">
                  <c:v>0.37911894753301173</c:v>
                </c:pt>
                <c:pt idx="22">
                  <c:v>0.39678589048805007</c:v>
                </c:pt>
                <c:pt idx="23">
                  <c:v>0.39849206981714869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3887696"/>
        <c:axId val="743890048"/>
      </c:areaChart>
      <c:catAx>
        <c:axId val="743887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890048"/>
        <c:crosses val="autoZero"/>
        <c:auto val="1"/>
        <c:lblAlgn val="ctr"/>
        <c:lblOffset val="100"/>
        <c:noMultiLvlLbl val="0"/>
      </c:catAx>
      <c:valAx>
        <c:axId val="74389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887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119313</xdr:colOff>
          <xdr:row>4</xdr:row>
          <xdr:rowOff>114801</xdr:rowOff>
        </xdr:from>
        <xdr:to>
          <xdr:col>12</xdr:col>
          <xdr:colOff>0</xdr:colOff>
          <xdr:row>6</xdr:row>
          <xdr:rowOff>124326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1</xdr:row>
          <xdr:rowOff>133350</xdr:rowOff>
        </xdr:from>
        <xdr:to>
          <xdr:col>9</xdr:col>
          <xdr:colOff>447675</xdr:colOff>
          <xdr:row>3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0</xdr:rowOff>
    </xdr:from>
    <xdr:to>
      <xdr:col>28</xdr:col>
      <xdr:colOff>600075</xdr:colOff>
      <xdr:row>37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34591</xdr:rowOff>
        </xdr:from>
        <xdr:to>
          <xdr:col>2</xdr:col>
          <xdr:colOff>581025</xdr:colOff>
          <xdr:row>6</xdr:row>
          <xdr:rowOff>44116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190501</xdr:colOff>
      <xdr:row>0</xdr:row>
      <xdr:rowOff>80212</xdr:rowOff>
    </xdr:from>
    <xdr:to>
      <xdr:col>29</xdr:col>
      <xdr:colOff>501315</xdr:colOff>
      <xdr:row>17</xdr:row>
      <xdr:rowOff>10026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180474</xdr:colOff>
      <xdr:row>17</xdr:row>
      <xdr:rowOff>40105</xdr:rowOff>
    </xdr:from>
    <xdr:to>
      <xdr:col>29</xdr:col>
      <xdr:colOff>491288</xdr:colOff>
      <xdr:row>33</xdr:row>
      <xdr:rowOff>50130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180473</xdr:colOff>
      <xdr:row>33</xdr:row>
      <xdr:rowOff>130342</xdr:rowOff>
    </xdr:from>
    <xdr:to>
      <xdr:col>29</xdr:col>
      <xdr:colOff>491287</xdr:colOff>
      <xdr:row>49</xdr:row>
      <xdr:rowOff>140367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276225</xdr:colOff>
      <xdr:row>19</xdr:row>
      <xdr:rowOff>33336</xdr:rowOff>
    </xdr:from>
    <xdr:to>
      <xdr:col>24</xdr:col>
      <xdr:colOff>114299</xdr:colOff>
      <xdr:row>36</xdr:row>
      <xdr:rowOff>200024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276225</xdr:colOff>
      <xdr:row>0</xdr:row>
      <xdr:rowOff>104775</xdr:rowOff>
    </xdr:from>
    <xdr:to>
      <xdr:col>24</xdr:col>
      <xdr:colOff>114299</xdr:colOff>
      <xdr:row>19</xdr:row>
      <xdr:rowOff>4763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352425</xdr:colOff>
      <xdr:row>19</xdr:row>
      <xdr:rowOff>52386</xdr:rowOff>
    </xdr:from>
    <xdr:to>
      <xdr:col>35</xdr:col>
      <xdr:colOff>190499</xdr:colOff>
      <xdr:row>37</xdr:row>
      <xdr:rowOff>19049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352425</xdr:colOff>
      <xdr:row>0</xdr:row>
      <xdr:rowOff>123825</xdr:rowOff>
    </xdr:from>
    <xdr:to>
      <xdr:col>35</xdr:col>
      <xdr:colOff>190499</xdr:colOff>
      <xdr:row>19</xdr:row>
      <xdr:rowOff>23813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06"/>
  <sheetViews>
    <sheetView zoomScale="95" zoomScaleNormal="95" workbookViewId="0">
      <selection activeCell="G9" sqref="G9"/>
    </sheetView>
  </sheetViews>
  <sheetFormatPr defaultRowHeight="15" x14ac:dyDescent="0.25"/>
  <cols>
    <col min="1" max="1" width="20.140625" bestFit="1" customWidth="1"/>
    <col min="6" max="6" width="15.85546875" bestFit="1" customWidth="1"/>
    <col min="7" max="7" width="12" bestFit="1" customWidth="1"/>
    <col min="13" max="13" width="20.140625" bestFit="1" customWidth="1"/>
    <col min="14" max="14" width="11.7109375" bestFit="1" customWidth="1"/>
  </cols>
  <sheetData>
    <row r="1" spans="1:12" x14ac:dyDescent="0.25">
      <c r="A1" s="68" t="s">
        <v>42</v>
      </c>
      <c r="B1" s="68"/>
      <c r="E1" t="s">
        <v>8</v>
      </c>
    </row>
    <row r="2" spans="1:12" x14ac:dyDescent="0.25">
      <c r="A2" t="s">
        <v>36</v>
      </c>
      <c r="B2" s="66">
        <v>70000</v>
      </c>
      <c r="F2" t="s">
        <v>2</v>
      </c>
    </row>
    <row r="3" spans="1:12" x14ac:dyDescent="0.25">
      <c r="A3" t="s">
        <v>37</v>
      </c>
      <c r="B3" s="66">
        <v>100000</v>
      </c>
      <c r="F3" t="s">
        <v>3</v>
      </c>
    </row>
    <row r="4" spans="1:12" x14ac:dyDescent="0.25">
      <c r="A4" t="s">
        <v>38</v>
      </c>
      <c r="B4" s="66">
        <v>0</v>
      </c>
      <c r="F4" t="s">
        <v>9</v>
      </c>
    </row>
    <row r="5" spans="1:12" x14ac:dyDescent="0.25">
      <c r="A5" t="s">
        <v>39</v>
      </c>
      <c r="B5" s="67">
        <f>SUM(B2:B4)</f>
        <v>170000</v>
      </c>
      <c r="F5" t="s">
        <v>48</v>
      </c>
    </row>
    <row r="6" spans="1:12" x14ac:dyDescent="0.25">
      <c r="A6" t="s">
        <v>40</v>
      </c>
      <c r="B6" s="66">
        <v>60000</v>
      </c>
    </row>
    <row r="7" spans="1:12" ht="15.75" thickBot="1" x14ac:dyDescent="0.3">
      <c r="A7" t="s">
        <v>41</v>
      </c>
      <c r="B7" s="5">
        <f>(B5-B6)/B5</f>
        <v>0.6470588235294118</v>
      </c>
      <c r="C7" s="38">
        <f>B7*B5</f>
        <v>110000</v>
      </c>
    </row>
    <row r="8" spans="1:12" ht="15" customHeight="1" x14ac:dyDescent="0.25">
      <c r="A8" s="29" t="s">
        <v>1</v>
      </c>
      <c r="B8" s="30" t="s">
        <v>0</v>
      </c>
      <c r="C8" s="30" t="s">
        <v>4</v>
      </c>
      <c r="D8" s="30" t="s">
        <v>5</v>
      </c>
      <c r="E8" s="31" t="s">
        <v>7</v>
      </c>
      <c r="F8" s="36" t="s">
        <v>11</v>
      </c>
      <c r="G8" s="47">
        <v>0.15</v>
      </c>
      <c r="H8" s="47">
        <v>0.25</v>
      </c>
      <c r="I8" s="47">
        <v>0.5</v>
      </c>
      <c r="J8" s="47">
        <v>0.65</v>
      </c>
      <c r="K8" s="47">
        <v>0.7</v>
      </c>
      <c r="L8" s="22"/>
    </row>
    <row r="9" spans="1:12" ht="15" customHeight="1" x14ac:dyDescent="0.25">
      <c r="A9" s="23"/>
      <c r="B9" s="25"/>
      <c r="C9" s="25"/>
      <c r="D9" s="25"/>
      <c r="E9" s="27"/>
      <c r="F9" s="33" t="s">
        <v>12</v>
      </c>
      <c r="G9" s="48">
        <f>1-G8</f>
        <v>0.85</v>
      </c>
      <c r="H9" s="48">
        <f>1-H8</f>
        <v>0.75</v>
      </c>
      <c r="I9" s="48">
        <f>1-I8</f>
        <v>0.5</v>
      </c>
      <c r="J9" s="48">
        <f>1-J8</f>
        <v>0.35</v>
      </c>
      <c r="K9" s="48">
        <f>1-K8</f>
        <v>0.30000000000000004</v>
      </c>
      <c r="L9" s="8"/>
    </row>
    <row r="10" spans="1:12" ht="15" customHeight="1" x14ac:dyDescent="0.25">
      <c r="A10" s="23"/>
      <c r="B10" s="25"/>
      <c r="C10" s="25"/>
      <c r="D10" s="25"/>
      <c r="E10" s="27"/>
      <c r="F10" s="33" t="s">
        <v>6</v>
      </c>
      <c r="G10" s="47">
        <v>0.8</v>
      </c>
      <c r="H10" s="47">
        <v>0.8</v>
      </c>
      <c r="I10" s="47">
        <v>0.8</v>
      </c>
      <c r="J10" s="47">
        <v>0.8</v>
      </c>
      <c r="K10" s="47">
        <v>0.8</v>
      </c>
      <c r="L10" s="8"/>
    </row>
    <row r="11" spans="1:12" ht="15" customHeight="1" x14ac:dyDescent="0.25">
      <c r="A11" s="23"/>
      <c r="B11" s="25"/>
      <c r="C11" s="25"/>
      <c r="D11" s="25"/>
      <c r="E11" s="27"/>
      <c r="F11" s="33" t="s">
        <v>13</v>
      </c>
      <c r="G11" s="49">
        <f>100%-G10</f>
        <v>0.19999999999999996</v>
      </c>
      <c r="H11" s="49">
        <f>100%-H10</f>
        <v>0.19999999999999996</v>
      </c>
      <c r="I11" s="49">
        <f>100%-I10</f>
        <v>0.19999999999999996</v>
      </c>
      <c r="J11" s="49">
        <f>100%-J10</f>
        <v>0.19999999999999996</v>
      </c>
      <c r="K11" s="49">
        <f>100%-K10</f>
        <v>0.19999999999999996</v>
      </c>
      <c r="L11" s="8"/>
    </row>
    <row r="12" spans="1:12" ht="15" customHeight="1" x14ac:dyDescent="0.25">
      <c r="A12" s="23"/>
      <c r="B12" s="25"/>
      <c r="C12" s="25"/>
      <c r="D12" s="25"/>
      <c r="E12" s="27"/>
      <c r="F12" s="33" t="s">
        <v>10</v>
      </c>
      <c r="G12" s="70">
        <v>3.8199999999999998E-2</v>
      </c>
      <c r="H12" s="70">
        <v>3.8199999999999998E-2</v>
      </c>
      <c r="I12" s="70">
        <v>3.8199999999999998E-2</v>
      </c>
      <c r="J12" s="70">
        <v>3.8199999999999998E-2</v>
      </c>
      <c r="K12" s="70">
        <v>3.8199999999999998E-2</v>
      </c>
      <c r="L12" s="8"/>
    </row>
    <row r="13" spans="1:12" ht="15.75" customHeight="1" thickBot="1" x14ac:dyDescent="0.3">
      <c r="A13" s="23"/>
      <c r="B13" s="25"/>
      <c r="C13" s="25"/>
      <c r="D13" s="25"/>
      <c r="E13" s="27"/>
      <c r="F13" s="34" t="s">
        <v>14</v>
      </c>
      <c r="G13" s="50">
        <f>G9/G12</f>
        <v>22.251308900523561</v>
      </c>
      <c r="H13" s="50">
        <f>H9/H12</f>
        <v>19.633507853403142</v>
      </c>
      <c r="I13" s="50">
        <f>I9/I12</f>
        <v>13.089005235602095</v>
      </c>
      <c r="J13" s="50">
        <f>J9/J12</f>
        <v>9.1623036649214651</v>
      </c>
      <c r="K13" s="50">
        <f>K9/K12</f>
        <v>7.8534031413612579</v>
      </c>
      <c r="L13" s="9"/>
    </row>
    <row r="14" spans="1:12" x14ac:dyDescent="0.25">
      <c r="A14" s="23"/>
      <c r="B14" s="25"/>
      <c r="C14" s="25"/>
      <c r="D14" s="25"/>
      <c r="E14" s="27"/>
      <c r="F14" s="32" t="s">
        <v>15</v>
      </c>
      <c r="G14" s="33">
        <f>MIN(G17:G106)</f>
        <v>28</v>
      </c>
      <c r="H14" s="33">
        <f>MIN(H17:H106)</f>
        <v>19</v>
      </c>
      <c r="I14" s="33">
        <f>MIN(I17:I106)</f>
        <v>11</v>
      </c>
      <c r="J14" s="33">
        <f>MIN(J17:J106)</f>
        <v>7</v>
      </c>
      <c r="K14" s="33">
        <f>MIN(K17:K106)</f>
        <v>6</v>
      </c>
      <c r="L14" s="33"/>
    </row>
    <row r="15" spans="1:12" ht="15.75" thickBot="1" x14ac:dyDescent="0.3">
      <c r="A15" s="23"/>
      <c r="B15" s="25"/>
      <c r="C15" s="25"/>
      <c r="D15" s="25"/>
      <c r="E15" s="27"/>
      <c r="F15" s="32" t="s">
        <v>16</v>
      </c>
      <c r="G15" s="33">
        <f>MAX(G17:G106)</f>
        <v>47</v>
      </c>
      <c r="H15" s="33">
        <f>MAX(H17:H106)</f>
        <v>37</v>
      </c>
      <c r="I15" s="33">
        <f>MAX(I17:I106)</f>
        <v>24</v>
      </c>
      <c r="J15" s="33">
        <f>MAX(J17:J106)</f>
        <v>16</v>
      </c>
      <c r="K15" s="33">
        <f>MAX(K17:K106)</f>
        <v>12</v>
      </c>
      <c r="L15" s="33"/>
    </row>
    <row r="16" spans="1:12" ht="15.75" thickBot="1" x14ac:dyDescent="0.3">
      <c r="A16" s="24"/>
      <c r="B16" s="26"/>
      <c r="C16" s="26"/>
      <c r="D16" s="26"/>
      <c r="E16" s="28"/>
      <c r="F16" s="52" t="s">
        <v>17</v>
      </c>
      <c r="G16" s="51">
        <f>AVERAGE(G17:G106)</f>
        <v>37.18181818181818</v>
      </c>
      <c r="H16" s="51">
        <f t="shared" ref="H16:K16" si="0">AVERAGE(H17:H106)</f>
        <v>27.64516129032258</v>
      </c>
      <c r="I16" s="51">
        <f t="shared" si="0"/>
        <v>15.842105263157896</v>
      </c>
      <c r="J16" s="51">
        <f t="shared" si="0"/>
        <v>10.209876543209877</v>
      </c>
      <c r="K16" s="51">
        <f t="shared" si="0"/>
        <v>8.4337349397590362</v>
      </c>
      <c r="L16" s="35"/>
    </row>
    <row r="17" spans="1:11" ht="15.75" x14ac:dyDescent="0.25">
      <c r="A17" s="10">
        <v>1928</v>
      </c>
      <c r="B17" s="7">
        <v>0.43809999999999999</v>
      </c>
      <c r="C17" s="7">
        <v>3.0800000000000001E-2</v>
      </c>
      <c r="D17" s="7">
        <v>8.3999999999999995E-3</v>
      </c>
      <c r="E17" s="11">
        <v>-1.7</v>
      </c>
      <c r="G17">
        <v>33</v>
      </c>
      <c r="H17">
        <v>27</v>
      </c>
      <c r="I17">
        <v>17</v>
      </c>
      <c r="J17">
        <v>8</v>
      </c>
      <c r="K17">
        <v>7</v>
      </c>
    </row>
    <row r="18" spans="1:11" ht="15.75" x14ac:dyDescent="0.25">
      <c r="A18" s="12">
        <v>1929</v>
      </c>
      <c r="B18" s="2">
        <v>-8.3000000000000004E-2</v>
      </c>
      <c r="C18" s="2">
        <v>3.1600000000000003E-2</v>
      </c>
      <c r="D18" s="2">
        <v>4.2000000000000003E-2</v>
      </c>
      <c r="E18" s="13">
        <v>0</v>
      </c>
      <c r="G18">
        <v>32</v>
      </c>
      <c r="H18">
        <v>26</v>
      </c>
      <c r="I18">
        <v>16</v>
      </c>
      <c r="J18">
        <v>9</v>
      </c>
      <c r="K18">
        <v>7</v>
      </c>
    </row>
    <row r="19" spans="1:11" ht="15.75" x14ac:dyDescent="0.25">
      <c r="A19" s="14">
        <v>1930</v>
      </c>
      <c r="B19" s="1">
        <v>-0.25119999999999998</v>
      </c>
      <c r="C19" s="1">
        <v>4.5499999999999999E-2</v>
      </c>
      <c r="D19" s="1">
        <v>4.5400000000000003E-2</v>
      </c>
      <c r="E19" s="15">
        <v>-2.2999999999999998</v>
      </c>
      <c r="G19">
        <v>33</v>
      </c>
      <c r="H19">
        <v>25</v>
      </c>
      <c r="I19">
        <v>15</v>
      </c>
      <c r="J19">
        <v>9</v>
      </c>
      <c r="K19">
        <v>6</v>
      </c>
    </row>
    <row r="20" spans="1:11" ht="15.75" x14ac:dyDescent="0.25">
      <c r="A20" s="12">
        <v>1931</v>
      </c>
      <c r="B20" s="2">
        <v>-0.43840000000000001</v>
      </c>
      <c r="C20" s="2">
        <v>2.3099999999999999E-2</v>
      </c>
      <c r="D20" s="2">
        <v>-2.5600000000000001E-2</v>
      </c>
      <c r="E20" s="13">
        <v>-9</v>
      </c>
      <c r="G20">
        <v>32</v>
      </c>
      <c r="H20">
        <v>24</v>
      </c>
      <c r="I20">
        <v>19</v>
      </c>
      <c r="J20">
        <v>12</v>
      </c>
      <c r="K20">
        <v>7</v>
      </c>
    </row>
    <row r="21" spans="1:11" ht="15.75" x14ac:dyDescent="0.25">
      <c r="A21" s="14">
        <v>1932</v>
      </c>
      <c r="B21" s="1">
        <v>-8.6400000000000005E-2</v>
      </c>
      <c r="C21" s="1">
        <v>1.0699999999999999E-2</v>
      </c>
      <c r="D21" s="1">
        <v>8.7900000000000006E-2</v>
      </c>
      <c r="E21" s="15">
        <v>-9.9</v>
      </c>
      <c r="G21">
        <v>32</v>
      </c>
      <c r="H21">
        <v>26</v>
      </c>
      <c r="I21">
        <v>18</v>
      </c>
      <c r="J21">
        <v>12</v>
      </c>
      <c r="K21">
        <v>10</v>
      </c>
    </row>
    <row r="22" spans="1:11" ht="15.75" x14ac:dyDescent="0.25">
      <c r="A22" s="12">
        <v>1933</v>
      </c>
      <c r="B22" s="2">
        <v>0.49980000000000002</v>
      </c>
      <c r="C22" s="2">
        <v>9.5999999999999992E-3</v>
      </c>
      <c r="D22" s="2">
        <v>1.8599999999999998E-2</v>
      </c>
      <c r="E22" s="13">
        <v>-5.0999999999999996</v>
      </c>
      <c r="G22">
        <v>32</v>
      </c>
      <c r="H22">
        <v>25</v>
      </c>
      <c r="I22">
        <v>17</v>
      </c>
      <c r="J22">
        <v>11</v>
      </c>
      <c r="K22">
        <v>10</v>
      </c>
    </row>
    <row r="23" spans="1:11" ht="15.75" x14ac:dyDescent="0.25">
      <c r="A23" s="14">
        <v>1934</v>
      </c>
      <c r="B23" s="1">
        <v>-1.1900000000000001E-2</v>
      </c>
      <c r="C23" s="1">
        <v>3.2000000000000002E-3</v>
      </c>
      <c r="D23" s="1">
        <v>7.9600000000000004E-2</v>
      </c>
      <c r="E23" s="15">
        <v>3.1</v>
      </c>
      <c r="G23">
        <v>33</v>
      </c>
      <c r="H23">
        <v>24</v>
      </c>
      <c r="I23">
        <v>17</v>
      </c>
      <c r="J23">
        <v>11</v>
      </c>
      <c r="K23">
        <v>10</v>
      </c>
    </row>
    <row r="24" spans="1:11" ht="15.75" x14ac:dyDescent="0.25">
      <c r="A24" s="12">
        <v>1935</v>
      </c>
      <c r="B24" s="2">
        <v>0.46739999999999998</v>
      </c>
      <c r="C24" s="2">
        <v>1.8E-3</v>
      </c>
      <c r="D24" s="2">
        <v>4.4699999999999997E-2</v>
      </c>
      <c r="E24" s="13">
        <v>2.2000000000000002</v>
      </c>
      <c r="G24">
        <v>33</v>
      </c>
      <c r="H24">
        <v>24</v>
      </c>
      <c r="I24">
        <v>17</v>
      </c>
      <c r="J24">
        <v>10</v>
      </c>
      <c r="K24">
        <v>9</v>
      </c>
    </row>
    <row r="25" spans="1:11" ht="15.75" x14ac:dyDescent="0.25">
      <c r="A25" s="14">
        <v>1936</v>
      </c>
      <c r="B25" s="1">
        <v>0.31940000000000002</v>
      </c>
      <c r="C25" s="1">
        <v>1.6999999999999999E-3</v>
      </c>
      <c r="D25" s="1">
        <v>5.0200000000000002E-2</v>
      </c>
      <c r="E25" s="15">
        <v>1.5</v>
      </c>
      <c r="G25">
        <v>36</v>
      </c>
      <c r="H25">
        <v>25</v>
      </c>
      <c r="I25">
        <v>16</v>
      </c>
      <c r="J25">
        <v>13</v>
      </c>
      <c r="K25">
        <v>9</v>
      </c>
    </row>
    <row r="26" spans="1:11" ht="15.75" x14ac:dyDescent="0.25">
      <c r="A26" s="12">
        <v>1937</v>
      </c>
      <c r="B26" s="2">
        <v>-0.35339999999999999</v>
      </c>
      <c r="C26" s="2">
        <v>3.0000000000000001E-3</v>
      </c>
      <c r="D26" s="2">
        <v>1.38E-2</v>
      </c>
      <c r="E26" s="13">
        <v>3.6</v>
      </c>
      <c r="G26">
        <v>35</v>
      </c>
      <c r="H26">
        <v>24</v>
      </c>
      <c r="I26">
        <v>15</v>
      </c>
      <c r="J26">
        <v>12</v>
      </c>
      <c r="K26">
        <v>8</v>
      </c>
    </row>
    <row r="27" spans="1:11" ht="15.75" x14ac:dyDescent="0.25">
      <c r="A27" s="14">
        <v>1938</v>
      </c>
      <c r="B27" s="1">
        <v>0.2928</v>
      </c>
      <c r="C27" s="1">
        <v>8.0000000000000004E-4</v>
      </c>
      <c r="D27" s="1">
        <v>4.2099999999999999E-2</v>
      </c>
      <c r="E27" s="15">
        <v>-2.1</v>
      </c>
      <c r="G27">
        <v>47</v>
      </c>
      <c r="H27">
        <v>23</v>
      </c>
      <c r="I27">
        <v>16</v>
      </c>
      <c r="J27">
        <v>12</v>
      </c>
      <c r="K27">
        <v>11</v>
      </c>
    </row>
    <row r="28" spans="1:11" ht="15.75" x14ac:dyDescent="0.25">
      <c r="A28" s="12">
        <v>1939</v>
      </c>
      <c r="B28" s="2">
        <v>-1.0999999999999999E-2</v>
      </c>
      <c r="C28" s="2">
        <v>4.0000000000000002E-4</v>
      </c>
      <c r="D28" s="2">
        <v>4.41E-2</v>
      </c>
      <c r="E28" s="13">
        <v>-1.4</v>
      </c>
      <c r="G28">
        <v>46</v>
      </c>
      <c r="H28">
        <v>22</v>
      </c>
      <c r="I28">
        <v>15</v>
      </c>
      <c r="J28">
        <v>11</v>
      </c>
      <c r="K28">
        <v>10</v>
      </c>
    </row>
    <row r="29" spans="1:11" ht="15.75" x14ac:dyDescent="0.25">
      <c r="A29" s="14">
        <v>1940</v>
      </c>
      <c r="B29" s="1">
        <v>-0.1067</v>
      </c>
      <c r="C29" s="1">
        <v>2.9999999999999997E-4</v>
      </c>
      <c r="D29" s="1">
        <v>5.3999999999999999E-2</v>
      </c>
      <c r="E29" s="15">
        <v>0.7</v>
      </c>
      <c r="G29">
        <v>45</v>
      </c>
      <c r="H29">
        <v>23</v>
      </c>
      <c r="I29">
        <v>14</v>
      </c>
      <c r="J29">
        <v>10</v>
      </c>
      <c r="K29">
        <v>9</v>
      </c>
    </row>
    <row r="30" spans="1:11" ht="15.75" x14ac:dyDescent="0.25">
      <c r="A30" s="12">
        <v>1941</v>
      </c>
      <c r="B30" s="2">
        <v>-0.12770000000000001</v>
      </c>
      <c r="C30" s="2">
        <v>8.0000000000000004E-4</v>
      </c>
      <c r="D30" s="2">
        <v>-2.0199999999999999E-2</v>
      </c>
      <c r="E30" s="13">
        <v>5</v>
      </c>
      <c r="G30">
        <v>44</v>
      </c>
      <c r="H30">
        <v>23</v>
      </c>
      <c r="I30">
        <v>13</v>
      </c>
      <c r="J30">
        <v>10</v>
      </c>
      <c r="K30">
        <v>9</v>
      </c>
    </row>
    <row r="31" spans="1:11" ht="15.75" x14ac:dyDescent="0.25">
      <c r="A31" s="14">
        <v>1942</v>
      </c>
      <c r="B31" s="1">
        <v>0.19170000000000001</v>
      </c>
      <c r="C31" s="1">
        <v>3.3999999999999998E-3</v>
      </c>
      <c r="D31" s="1">
        <v>2.29E-2</v>
      </c>
      <c r="E31" s="15">
        <v>10.9</v>
      </c>
      <c r="G31">
        <v>44</v>
      </c>
      <c r="H31">
        <v>22</v>
      </c>
      <c r="I31">
        <v>12</v>
      </c>
      <c r="J31">
        <v>9</v>
      </c>
      <c r="K31">
        <v>8</v>
      </c>
    </row>
    <row r="32" spans="1:11" ht="15.75" x14ac:dyDescent="0.25">
      <c r="A32" s="12">
        <v>1943</v>
      </c>
      <c r="B32" s="2">
        <v>0.25059999999999999</v>
      </c>
      <c r="C32" s="2">
        <v>3.8E-3</v>
      </c>
      <c r="D32" s="2">
        <v>2.4899999999999999E-2</v>
      </c>
      <c r="E32" s="13">
        <v>6.1</v>
      </c>
      <c r="G32">
        <v>43</v>
      </c>
      <c r="H32">
        <v>22</v>
      </c>
      <c r="I32">
        <v>12</v>
      </c>
      <c r="J32">
        <v>9</v>
      </c>
      <c r="K32">
        <v>8</v>
      </c>
    </row>
    <row r="33" spans="1:11" ht="15.75" x14ac:dyDescent="0.25">
      <c r="A33" s="14">
        <v>1944</v>
      </c>
      <c r="B33" s="1">
        <v>0.1903</v>
      </c>
      <c r="C33" s="1">
        <v>3.8E-3</v>
      </c>
      <c r="D33" s="1">
        <v>2.58E-2</v>
      </c>
      <c r="E33" s="15">
        <v>1.7</v>
      </c>
      <c r="G33">
        <v>44</v>
      </c>
      <c r="H33">
        <v>24</v>
      </c>
      <c r="I33">
        <v>11</v>
      </c>
      <c r="J33">
        <v>10</v>
      </c>
      <c r="K33">
        <v>8</v>
      </c>
    </row>
    <row r="34" spans="1:11" ht="15.75" x14ac:dyDescent="0.25">
      <c r="A34" s="12">
        <v>1945</v>
      </c>
      <c r="B34" s="2">
        <v>0.35820000000000002</v>
      </c>
      <c r="C34" s="2">
        <v>3.8E-3</v>
      </c>
      <c r="D34" s="2">
        <v>3.7999999999999999E-2</v>
      </c>
      <c r="E34" s="13">
        <v>2.2999999999999998</v>
      </c>
      <c r="G34">
        <v>43</v>
      </c>
      <c r="H34">
        <v>27</v>
      </c>
      <c r="I34">
        <v>13</v>
      </c>
      <c r="J34">
        <v>9</v>
      </c>
      <c r="K34">
        <v>7</v>
      </c>
    </row>
    <row r="35" spans="1:11" ht="15.75" x14ac:dyDescent="0.25">
      <c r="A35" s="14">
        <v>1946</v>
      </c>
      <c r="B35" s="1">
        <v>-8.43E-2</v>
      </c>
      <c r="C35" s="1">
        <v>3.8E-3</v>
      </c>
      <c r="D35" s="1">
        <v>3.1300000000000001E-2</v>
      </c>
      <c r="E35" s="15">
        <v>8.3000000000000007</v>
      </c>
      <c r="G35">
        <v>43</v>
      </c>
      <c r="H35">
        <v>26</v>
      </c>
      <c r="I35">
        <v>12</v>
      </c>
      <c r="J35">
        <v>8</v>
      </c>
      <c r="K35">
        <v>8</v>
      </c>
    </row>
    <row r="36" spans="1:11" ht="15.75" x14ac:dyDescent="0.25">
      <c r="A36" s="12">
        <v>1947</v>
      </c>
      <c r="B36" s="2">
        <v>5.1999999999999998E-2</v>
      </c>
      <c r="C36" s="2">
        <v>5.7000000000000002E-3</v>
      </c>
      <c r="D36" s="2">
        <v>9.1999999999999998E-3</v>
      </c>
      <c r="E36" s="13">
        <v>14.4</v>
      </c>
      <c r="G36">
        <v>42</v>
      </c>
      <c r="H36">
        <v>37</v>
      </c>
      <c r="I36">
        <v>11</v>
      </c>
      <c r="J36">
        <v>7</v>
      </c>
      <c r="K36">
        <v>7</v>
      </c>
    </row>
    <row r="37" spans="1:11" ht="15.75" x14ac:dyDescent="0.25">
      <c r="A37" s="14">
        <v>1948</v>
      </c>
      <c r="B37" s="1">
        <v>5.7000000000000002E-2</v>
      </c>
      <c r="C37" s="1">
        <v>1.0200000000000001E-2</v>
      </c>
      <c r="D37" s="1">
        <v>1.95E-2</v>
      </c>
      <c r="E37" s="15">
        <v>8.1</v>
      </c>
      <c r="G37">
        <v>41</v>
      </c>
      <c r="H37">
        <v>37</v>
      </c>
      <c r="I37">
        <v>12</v>
      </c>
      <c r="J37">
        <v>7</v>
      </c>
      <c r="K37">
        <v>6</v>
      </c>
    </row>
    <row r="38" spans="1:11" ht="15.75" x14ac:dyDescent="0.25">
      <c r="A38" s="12">
        <v>1949</v>
      </c>
      <c r="B38" s="2">
        <v>0.183</v>
      </c>
      <c r="C38" s="2">
        <v>1.0999999999999999E-2</v>
      </c>
      <c r="D38" s="2">
        <v>4.6600000000000003E-2</v>
      </c>
      <c r="E38" s="13">
        <v>-1.2</v>
      </c>
      <c r="G38">
        <v>42</v>
      </c>
      <c r="H38">
        <v>36</v>
      </c>
      <c r="I38">
        <v>12</v>
      </c>
      <c r="J38">
        <v>7</v>
      </c>
      <c r="K38">
        <v>6</v>
      </c>
    </row>
    <row r="39" spans="1:11" ht="15.75" x14ac:dyDescent="0.25">
      <c r="A39" s="14">
        <v>1950</v>
      </c>
      <c r="B39" s="1">
        <v>0.30809999999999998</v>
      </c>
      <c r="C39" s="1">
        <v>1.17E-2</v>
      </c>
      <c r="D39" s="1">
        <v>4.3E-3</v>
      </c>
      <c r="E39" s="15">
        <v>1.3</v>
      </c>
      <c r="G39">
        <v>42</v>
      </c>
      <c r="H39">
        <v>36</v>
      </c>
      <c r="I39">
        <v>13</v>
      </c>
      <c r="J39">
        <v>8</v>
      </c>
      <c r="K39">
        <v>6</v>
      </c>
    </row>
    <row r="40" spans="1:11" ht="15.75" x14ac:dyDescent="0.25">
      <c r="A40" s="12">
        <v>1951</v>
      </c>
      <c r="B40" s="2">
        <v>0.23680000000000001</v>
      </c>
      <c r="C40" s="2">
        <v>1.4800000000000001E-2</v>
      </c>
      <c r="D40" s="2">
        <v>-3.0000000000000001E-3</v>
      </c>
      <c r="E40" s="13">
        <v>7.9</v>
      </c>
      <c r="G40">
        <v>42</v>
      </c>
      <c r="H40">
        <v>35</v>
      </c>
      <c r="I40">
        <v>13</v>
      </c>
      <c r="J40">
        <v>8</v>
      </c>
      <c r="K40">
        <v>7</v>
      </c>
    </row>
    <row r="41" spans="1:11" ht="15.75" x14ac:dyDescent="0.25">
      <c r="A41" s="14">
        <v>1952</v>
      </c>
      <c r="B41" s="1">
        <v>0.18149999999999999</v>
      </c>
      <c r="C41" s="1">
        <v>1.67E-2</v>
      </c>
      <c r="D41" s="1">
        <v>2.2700000000000001E-2</v>
      </c>
      <c r="E41" s="15">
        <v>1.9</v>
      </c>
      <c r="G41">
        <v>43</v>
      </c>
      <c r="H41">
        <v>35</v>
      </c>
      <c r="I41">
        <v>13</v>
      </c>
      <c r="J41">
        <v>9</v>
      </c>
      <c r="K41">
        <v>7</v>
      </c>
    </row>
    <row r="42" spans="1:11" ht="15.75" x14ac:dyDescent="0.25">
      <c r="A42" s="12">
        <v>1953</v>
      </c>
      <c r="B42" s="2">
        <v>-1.21E-2</v>
      </c>
      <c r="C42" s="2">
        <v>1.89E-2</v>
      </c>
      <c r="D42" s="2">
        <v>4.1399999999999999E-2</v>
      </c>
      <c r="E42" s="13">
        <v>0.8</v>
      </c>
      <c r="G42">
        <v>42</v>
      </c>
      <c r="H42">
        <v>35</v>
      </c>
      <c r="I42">
        <v>14</v>
      </c>
      <c r="J42">
        <v>8</v>
      </c>
      <c r="K42">
        <v>7</v>
      </c>
    </row>
    <row r="43" spans="1:11" ht="15.75" x14ac:dyDescent="0.25">
      <c r="A43" s="14">
        <v>1954</v>
      </c>
      <c r="B43" s="1">
        <v>0.52559999999999996</v>
      </c>
      <c r="C43" s="1">
        <v>9.5999999999999992E-3</v>
      </c>
      <c r="D43" s="1">
        <v>3.2899999999999999E-2</v>
      </c>
      <c r="E43" s="15">
        <v>0.7</v>
      </c>
      <c r="G43">
        <v>41</v>
      </c>
      <c r="H43">
        <v>35</v>
      </c>
      <c r="I43">
        <v>17</v>
      </c>
      <c r="J43">
        <v>9</v>
      </c>
      <c r="K43">
        <v>7</v>
      </c>
    </row>
    <row r="44" spans="1:11" ht="15.75" x14ac:dyDescent="0.25">
      <c r="A44" s="12">
        <v>1955</v>
      </c>
      <c r="B44" s="2">
        <v>0.32600000000000001</v>
      </c>
      <c r="C44" s="2">
        <v>1.66E-2</v>
      </c>
      <c r="D44" s="2">
        <v>-1.34E-2</v>
      </c>
      <c r="E44" s="13">
        <v>-0.4</v>
      </c>
      <c r="G44">
        <v>40</v>
      </c>
      <c r="H44">
        <v>34</v>
      </c>
      <c r="I44">
        <v>17</v>
      </c>
      <c r="J44">
        <v>9</v>
      </c>
      <c r="K44">
        <v>8</v>
      </c>
    </row>
    <row r="45" spans="1:11" ht="15.75" x14ac:dyDescent="0.25">
      <c r="A45" s="14">
        <v>1956</v>
      </c>
      <c r="B45" s="1">
        <v>7.4399999999999994E-2</v>
      </c>
      <c r="C45" s="1">
        <v>2.5600000000000001E-2</v>
      </c>
      <c r="D45" s="1">
        <v>-2.2599999999999999E-2</v>
      </c>
      <c r="E45" s="15">
        <v>1.5</v>
      </c>
      <c r="G45">
        <v>40</v>
      </c>
      <c r="H45">
        <v>33</v>
      </c>
      <c r="I45">
        <v>24</v>
      </c>
      <c r="J45">
        <v>9</v>
      </c>
      <c r="K45">
        <v>8</v>
      </c>
    </row>
    <row r="46" spans="1:11" ht="15.75" x14ac:dyDescent="0.25">
      <c r="A46" s="12">
        <v>1957</v>
      </c>
      <c r="B46" s="2">
        <v>-0.1046</v>
      </c>
      <c r="C46" s="2">
        <v>3.2300000000000002E-2</v>
      </c>
      <c r="D46" s="2">
        <v>6.8000000000000005E-2</v>
      </c>
      <c r="E46" s="13">
        <v>3.3</v>
      </c>
      <c r="G46">
        <v>39</v>
      </c>
      <c r="H46">
        <v>34</v>
      </c>
      <c r="I46">
        <v>23</v>
      </c>
      <c r="J46">
        <v>10</v>
      </c>
      <c r="K46">
        <v>7</v>
      </c>
    </row>
    <row r="47" spans="1:11" ht="15.75" x14ac:dyDescent="0.25">
      <c r="A47" s="14">
        <v>1958</v>
      </c>
      <c r="B47" s="1">
        <v>0.43719999999999998</v>
      </c>
      <c r="C47" s="1">
        <v>1.78E-2</v>
      </c>
      <c r="D47" s="1">
        <v>-2.1000000000000001E-2</v>
      </c>
      <c r="E47" s="15">
        <v>2.8</v>
      </c>
      <c r="G47">
        <v>39</v>
      </c>
      <c r="H47">
        <v>33</v>
      </c>
      <c r="I47">
        <v>24</v>
      </c>
      <c r="J47">
        <v>10</v>
      </c>
      <c r="K47">
        <v>9</v>
      </c>
    </row>
    <row r="48" spans="1:11" ht="15.75" x14ac:dyDescent="0.25">
      <c r="A48" s="12">
        <v>1959</v>
      </c>
      <c r="B48" s="2">
        <v>0.1206</v>
      </c>
      <c r="C48" s="2">
        <v>3.2599999999999997E-2</v>
      </c>
      <c r="D48" s="2">
        <v>-2.6499999999999999E-2</v>
      </c>
      <c r="E48" s="13">
        <v>0.7</v>
      </c>
      <c r="G48">
        <v>38</v>
      </c>
      <c r="H48">
        <v>32</v>
      </c>
      <c r="I48">
        <v>24</v>
      </c>
      <c r="J48">
        <v>12</v>
      </c>
      <c r="K48">
        <v>8</v>
      </c>
    </row>
    <row r="49" spans="1:11" ht="15.75" x14ac:dyDescent="0.25">
      <c r="A49" s="14">
        <v>1960</v>
      </c>
      <c r="B49" s="1">
        <v>3.3999999999999998E-3</v>
      </c>
      <c r="C49" s="1">
        <v>3.0499999999999999E-2</v>
      </c>
      <c r="D49" s="1">
        <v>0.1164</v>
      </c>
      <c r="E49" s="15">
        <v>1.7</v>
      </c>
      <c r="G49">
        <v>37</v>
      </c>
      <c r="H49">
        <v>32</v>
      </c>
      <c r="I49">
        <v>23</v>
      </c>
      <c r="J49">
        <v>11</v>
      </c>
      <c r="K49">
        <v>8</v>
      </c>
    </row>
    <row r="50" spans="1:11" ht="15.75" x14ac:dyDescent="0.25">
      <c r="A50" s="12">
        <v>1961</v>
      </c>
      <c r="B50" s="2">
        <v>0.26640000000000003</v>
      </c>
      <c r="C50" s="2">
        <v>2.2700000000000001E-2</v>
      </c>
      <c r="D50" s="2">
        <v>2.06E-2</v>
      </c>
      <c r="E50" s="13">
        <v>1</v>
      </c>
      <c r="G50">
        <v>36</v>
      </c>
      <c r="H50">
        <v>32</v>
      </c>
      <c r="I50">
        <v>22</v>
      </c>
      <c r="J50">
        <v>11</v>
      </c>
      <c r="K50">
        <v>10</v>
      </c>
    </row>
    <row r="51" spans="1:11" ht="15.75" x14ac:dyDescent="0.25">
      <c r="A51" s="14">
        <v>1962</v>
      </c>
      <c r="B51" s="1">
        <v>-8.8099999999999998E-2</v>
      </c>
      <c r="C51" s="1">
        <v>2.7799999999999998E-2</v>
      </c>
      <c r="D51" s="1">
        <v>5.6899999999999999E-2</v>
      </c>
      <c r="E51" s="15">
        <v>1</v>
      </c>
      <c r="G51">
        <v>35</v>
      </c>
      <c r="H51">
        <v>31</v>
      </c>
      <c r="I51">
        <v>22</v>
      </c>
      <c r="J51">
        <v>14</v>
      </c>
      <c r="K51">
        <v>10</v>
      </c>
    </row>
    <row r="52" spans="1:11" ht="15.75" x14ac:dyDescent="0.25">
      <c r="A52" s="12">
        <v>1963</v>
      </c>
      <c r="B52" s="2">
        <v>0.2261</v>
      </c>
      <c r="C52" s="2">
        <v>3.1099999999999999E-2</v>
      </c>
      <c r="D52" s="2">
        <v>1.6799999999999999E-2</v>
      </c>
      <c r="E52" s="13">
        <v>1.3</v>
      </c>
      <c r="G52">
        <v>35</v>
      </c>
      <c r="H52">
        <v>32</v>
      </c>
      <c r="I52">
        <v>22</v>
      </c>
      <c r="J52">
        <v>16</v>
      </c>
      <c r="K52">
        <v>9</v>
      </c>
    </row>
    <row r="53" spans="1:11" ht="15.75" x14ac:dyDescent="0.25">
      <c r="A53" s="14">
        <v>1964</v>
      </c>
      <c r="B53" s="1">
        <v>0.16420000000000001</v>
      </c>
      <c r="C53" s="1">
        <v>3.5099999999999999E-2</v>
      </c>
      <c r="D53" s="1">
        <v>3.73E-2</v>
      </c>
      <c r="E53" s="15">
        <v>1.3</v>
      </c>
      <c r="G53">
        <v>34</v>
      </c>
      <c r="H53">
        <v>31</v>
      </c>
      <c r="I53">
        <v>21</v>
      </c>
      <c r="J53">
        <v>15</v>
      </c>
      <c r="K53">
        <v>12</v>
      </c>
    </row>
    <row r="54" spans="1:11" ht="15.75" x14ac:dyDescent="0.25">
      <c r="A54" s="12">
        <v>1965</v>
      </c>
      <c r="B54" s="2">
        <v>0.124</v>
      </c>
      <c r="C54" s="2">
        <v>3.9E-2</v>
      </c>
      <c r="D54" s="2">
        <v>7.1999999999999998E-3</v>
      </c>
      <c r="E54" s="13">
        <v>1.6</v>
      </c>
      <c r="G54">
        <v>33</v>
      </c>
      <c r="H54">
        <v>30</v>
      </c>
      <c r="I54">
        <v>20</v>
      </c>
      <c r="J54">
        <v>15</v>
      </c>
      <c r="K54">
        <v>11</v>
      </c>
    </row>
    <row r="55" spans="1:11" ht="15.75" x14ac:dyDescent="0.25">
      <c r="A55" s="14">
        <v>1966</v>
      </c>
      <c r="B55" s="1">
        <v>-9.9699999999999997E-2</v>
      </c>
      <c r="C55" s="1">
        <v>4.8399999999999999E-2</v>
      </c>
      <c r="D55" s="1">
        <v>2.9100000000000001E-2</v>
      </c>
      <c r="E55" s="15">
        <v>2.9</v>
      </c>
      <c r="G55">
        <v>32</v>
      </c>
      <c r="H55">
        <v>29</v>
      </c>
      <c r="I55">
        <v>19</v>
      </c>
      <c r="J55">
        <v>14</v>
      </c>
      <c r="K55">
        <v>12</v>
      </c>
    </row>
    <row r="56" spans="1:11" ht="15.75" x14ac:dyDescent="0.25">
      <c r="A56" s="12">
        <v>1967</v>
      </c>
      <c r="B56" s="2">
        <v>0.23799999999999999</v>
      </c>
      <c r="C56" s="2">
        <v>4.3299999999999998E-2</v>
      </c>
      <c r="D56" s="2">
        <v>-1.5800000000000002E-2</v>
      </c>
      <c r="E56" s="13">
        <v>3.1</v>
      </c>
      <c r="G56">
        <v>31</v>
      </c>
      <c r="H56">
        <v>28</v>
      </c>
      <c r="I56">
        <v>18</v>
      </c>
      <c r="J56">
        <v>15</v>
      </c>
      <c r="K56">
        <v>12</v>
      </c>
    </row>
    <row r="57" spans="1:11" ht="15.75" x14ac:dyDescent="0.25">
      <c r="A57" s="14">
        <v>1968</v>
      </c>
      <c r="B57" s="1">
        <v>0.1081</v>
      </c>
      <c r="C57" s="1">
        <v>5.2600000000000001E-2</v>
      </c>
      <c r="D57" s="1">
        <v>3.27E-2</v>
      </c>
      <c r="E57" s="15">
        <v>4.2</v>
      </c>
      <c r="G57">
        <v>30</v>
      </c>
      <c r="H57">
        <v>27</v>
      </c>
      <c r="I57">
        <v>18</v>
      </c>
      <c r="J57">
        <v>14</v>
      </c>
      <c r="K57">
        <v>12</v>
      </c>
    </row>
    <row r="58" spans="1:11" ht="15.75" x14ac:dyDescent="0.25">
      <c r="A58" s="12">
        <v>1969</v>
      </c>
      <c r="B58" s="2">
        <v>-8.2400000000000001E-2</v>
      </c>
      <c r="C58" s="2">
        <v>6.5600000000000006E-2</v>
      </c>
      <c r="D58" s="2">
        <v>-5.0099999999999999E-2</v>
      </c>
      <c r="E58" s="13">
        <v>5.5</v>
      </c>
      <c r="G58">
        <v>30</v>
      </c>
      <c r="H58">
        <v>26</v>
      </c>
      <c r="I58">
        <v>17</v>
      </c>
      <c r="J58">
        <v>13</v>
      </c>
      <c r="K58">
        <v>11</v>
      </c>
    </row>
    <row r="59" spans="1:11" ht="15.75" x14ac:dyDescent="0.25">
      <c r="A59" s="14">
        <v>1970</v>
      </c>
      <c r="B59" s="1">
        <v>3.56E-2</v>
      </c>
      <c r="C59" s="1">
        <v>6.6900000000000001E-2</v>
      </c>
      <c r="D59" s="1">
        <v>0.16750000000000001</v>
      </c>
      <c r="E59" s="15">
        <v>5.7</v>
      </c>
      <c r="G59">
        <v>29</v>
      </c>
      <c r="H59">
        <v>26</v>
      </c>
      <c r="I59">
        <v>16</v>
      </c>
      <c r="J59">
        <v>13</v>
      </c>
      <c r="K59">
        <v>12</v>
      </c>
    </row>
    <row r="60" spans="1:11" ht="15.75" x14ac:dyDescent="0.25">
      <c r="A60" s="12">
        <v>1971</v>
      </c>
      <c r="B60" s="2">
        <v>0.14219999999999999</v>
      </c>
      <c r="C60" s="2">
        <v>4.5400000000000003E-2</v>
      </c>
      <c r="D60" s="2">
        <v>9.7900000000000001E-2</v>
      </c>
      <c r="E60" s="13">
        <v>4.4000000000000004</v>
      </c>
      <c r="G60">
        <v>28</v>
      </c>
      <c r="H60">
        <v>25</v>
      </c>
      <c r="I60">
        <v>15</v>
      </c>
      <c r="J60">
        <v>12</v>
      </c>
      <c r="K60">
        <v>11</v>
      </c>
    </row>
    <row r="61" spans="1:11" ht="15.75" x14ac:dyDescent="0.25">
      <c r="A61" s="14">
        <v>1972</v>
      </c>
      <c r="B61" s="1">
        <v>0.18759999999999999</v>
      </c>
      <c r="C61" s="1">
        <v>3.95E-2</v>
      </c>
      <c r="D61" s="1">
        <v>2.8199999999999999E-2</v>
      </c>
      <c r="E61" s="15">
        <v>3.2</v>
      </c>
      <c r="G61">
        <v>34</v>
      </c>
      <c r="H61">
        <v>24</v>
      </c>
      <c r="I61">
        <v>15</v>
      </c>
      <c r="J61">
        <v>11</v>
      </c>
      <c r="K61">
        <v>10</v>
      </c>
    </row>
    <row r="62" spans="1:11" ht="15.75" x14ac:dyDescent="0.25">
      <c r="A62" s="12">
        <v>1973</v>
      </c>
      <c r="B62" s="2">
        <v>-0.1431</v>
      </c>
      <c r="C62" s="2">
        <v>6.7299999999999999E-2</v>
      </c>
      <c r="D62" s="2">
        <v>3.6600000000000001E-2</v>
      </c>
      <c r="E62" s="13">
        <v>6.2</v>
      </c>
      <c r="G62">
        <v>34</v>
      </c>
      <c r="H62">
        <v>24</v>
      </c>
      <c r="I62">
        <v>15</v>
      </c>
      <c r="J62">
        <v>11</v>
      </c>
      <c r="K62">
        <v>10</v>
      </c>
    </row>
    <row r="63" spans="1:11" ht="15.75" x14ac:dyDescent="0.25">
      <c r="A63" s="14">
        <v>1974</v>
      </c>
      <c r="B63" s="1">
        <v>-0.25900000000000001</v>
      </c>
      <c r="C63" s="1">
        <v>7.7799999999999994E-2</v>
      </c>
      <c r="D63" s="1">
        <v>1.9900000000000001E-2</v>
      </c>
      <c r="E63" s="15">
        <v>11</v>
      </c>
      <c r="G63">
        <v>38</v>
      </c>
      <c r="H63">
        <v>23</v>
      </c>
      <c r="I63">
        <v>14</v>
      </c>
      <c r="J63">
        <v>11</v>
      </c>
      <c r="K63">
        <v>9</v>
      </c>
    </row>
    <row r="64" spans="1:11" ht="15.75" x14ac:dyDescent="0.25">
      <c r="A64" s="12">
        <v>1975</v>
      </c>
      <c r="B64" s="2">
        <v>0.37</v>
      </c>
      <c r="C64" s="2">
        <v>5.9900000000000002E-2</v>
      </c>
      <c r="D64" s="2">
        <v>3.61E-2</v>
      </c>
      <c r="E64" s="13">
        <v>9.1</v>
      </c>
      <c r="G64">
        <v>38</v>
      </c>
      <c r="H64">
        <v>22</v>
      </c>
      <c r="I64">
        <v>14</v>
      </c>
      <c r="J64">
        <v>10</v>
      </c>
      <c r="K64">
        <v>9</v>
      </c>
    </row>
    <row r="65" spans="1:11" ht="15.75" x14ac:dyDescent="0.25">
      <c r="A65" s="14">
        <v>1976</v>
      </c>
      <c r="B65" s="1">
        <v>0.23830000000000001</v>
      </c>
      <c r="C65" s="1">
        <v>4.9700000000000001E-2</v>
      </c>
      <c r="D65" s="1">
        <v>0.1598</v>
      </c>
      <c r="E65" s="15">
        <v>5.8</v>
      </c>
      <c r="G65">
        <v>37</v>
      </c>
      <c r="H65">
        <v>21</v>
      </c>
      <c r="I65">
        <v>13</v>
      </c>
      <c r="J65">
        <v>9</v>
      </c>
      <c r="K65">
        <v>9</v>
      </c>
    </row>
    <row r="66" spans="1:11" ht="15.75" x14ac:dyDescent="0.25">
      <c r="A66" s="12">
        <v>1977</v>
      </c>
      <c r="B66" s="2">
        <v>-6.9800000000000001E-2</v>
      </c>
      <c r="C66" s="2">
        <v>5.1299999999999998E-2</v>
      </c>
      <c r="D66" s="2">
        <v>1.29E-2</v>
      </c>
      <c r="E66" s="13">
        <v>6.5</v>
      </c>
      <c r="G66">
        <v>36</v>
      </c>
      <c r="H66">
        <v>21</v>
      </c>
      <c r="I66">
        <v>14</v>
      </c>
      <c r="J66">
        <v>9</v>
      </c>
      <c r="K66">
        <v>8</v>
      </c>
    </row>
    <row r="67" spans="1:11" ht="15.75" x14ac:dyDescent="0.25">
      <c r="A67" s="14">
        <v>1978</v>
      </c>
      <c r="B67" s="1">
        <v>6.5100000000000005E-2</v>
      </c>
      <c r="C67" s="1">
        <v>6.93E-2</v>
      </c>
      <c r="D67" s="1">
        <v>-7.7999999999999996E-3</v>
      </c>
      <c r="E67" s="15">
        <v>7.6</v>
      </c>
      <c r="G67">
        <v>35</v>
      </c>
      <c r="H67">
        <v>20</v>
      </c>
      <c r="I67">
        <v>13</v>
      </c>
      <c r="J67">
        <v>8</v>
      </c>
      <c r="K67">
        <v>7</v>
      </c>
    </row>
    <row r="68" spans="1:11" ht="15.75" x14ac:dyDescent="0.25">
      <c r="A68" s="12">
        <v>1979</v>
      </c>
      <c r="B68" s="2">
        <v>0.1852</v>
      </c>
      <c r="C68" s="2">
        <v>9.9400000000000002E-2</v>
      </c>
      <c r="D68" s="2">
        <v>6.7000000000000002E-3</v>
      </c>
      <c r="E68" s="13">
        <v>11.3</v>
      </c>
      <c r="G68">
        <v>35</v>
      </c>
      <c r="H68">
        <v>20</v>
      </c>
      <c r="I68">
        <v>13</v>
      </c>
      <c r="J68">
        <v>9</v>
      </c>
      <c r="K68">
        <v>7</v>
      </c>
    </row>
    <row r="69" spans="1:11" ht="15.75" x14ac:dyDescent="0.25">
      <c r="A69" s="14">
        <v>1980</v>
      </c>
      <c r="B69" s="1">
        <v>0.31740000000000002</v>
      </c>
      <c r="C69" s="1">
        <v>0.11219999999999999</v>
      </c>
      <c r="D69" s="1">
        <v>-2.9899999999999999E-2</v>
      </c>
      <c r="E69" s="15">
        <v>13.5</v>
      </c>
      <c r="G69">
        <v>36</v>
      </c>
      <c r="H69">
        <v>19</v>
      </c>
      <c r="I69">
        <v>13</v>
      </c>
      <c r="J69">
        <v>9</v>
      </c>
      <c r="K69">
        <v>7</v>
      </c>
    </row>
    <row r="70" spans="1:11" ht="15.75" x14ac:dyDescent="0.25">
      <c r="A70" s="12">
        <v>1981</v>
      </c>
      <c r="B70" s="2">
        <v>-4.7E-2</v>
      </c>
      <c r="C70" s="2">
        <v>0.14299999999999999</v>
      </c>
      <c r="D70" s="2">
        <v>8.2000000000000003E-2</v>
      </c>
      <c r="E70" s="13">
        <v>10.3</v>
      </c>
      <c r="G70">
        <v>36</v>
      </c>
      <c r="H70">
        <v>25</v>
      </c>
      <c r="I70">
        <v>14</v>
      </c>
      <c r="J70">
        <v>8</v>
      </c>
      <c r="K70">
        <v>7</v>
      </c>
    </row>
    <row r="71" spans="1:11" ht="15.75" x14ac:dyDescent="0.25">
      <c r="A71" s="14">
        <v>1982</v>
      </c>
      <c r="B71" s="1">
        <v>0.20419999999999999</v>
      </c>
      <c r="C71" s="1">
        <v>0.1101</v>
      </c>
      <c r="D71" s="1">
        <v>0.3281</v>
      </c>
      <c r="E71" s="15">
        <v>6.2</v>
      </c>
      <c r="G71">
        <v>35</v>
      </c>
      <c r="H71">
        <v>30</v>
      </c>
      <c r="I71">
        <v>13</v>
      </c>
      <c r="J71">
        <v>9</v>
      </c>
      <c r="K71">
        <v>7</v>
      </c>
    </row>
    <row r="72" spans="1:11" ht="15.75" x14ac:dyDescent="0.25">
      <c r="A72" s="12">
        <v>1983</v>
      </c>
      <c r="B72" s="2">
        <v>0.22339999999999999</v>
      </c>
      <c r="C72" s="2">
        <v>8.4500000000000006E-2</v>
      </c>
      <c r="D72" s="2">
        <v>3.2000000000000001E-2</v>
      </c>
      <c r="E72" s="13">
        <v>3.2</v>
      </c>
      <c r="H72">
        <v>30</v>
      </c>
      <c r="I72">
        <v>13</v>
      </c>
      <c r="J72">
        <v>8</v>
      </c>
      <c r="K72">
        <v>8</v>
      </c>
    </row>
    <row r="73" spans="1:11" ht="15.75" x14ac:dyDescent="0.25">
      <c r="A73" s="14">
        <v>1984</v>
      </c>
      <c r="B73" s="1">
        <v>6.1499999999999999E-2</v>
      </c>
      <c r="C73" s="1">
        <v>9.6100000000000005E-2</v>
      </c>
      <c r="D73" s="1">
        <v>0.13730000000000001</v>
      </c>
      <c r="E73" s="15">
        <v>4.3</v>
      </c>
      <c r="H73">
        <v>29</v>
      </c>
      <c r="I73">
        <v>13</v>
      </c>
      <c r="J73">
        <v>9</v>
      </c>
      <c r="K73">
        <v>7</v>
      </c>
    </row>
    <row r="74" spans="1:11" ht="15.75" x14ac:dyDescent="0.25">
      <c r="A74" s="12">
        <v>1985</v>
      </c>
      <c r="B74" s="2">
        <v>0.31240000000000001</v>
      </c>
      <c r="C74" s="2">
        <v>7.4899999999999994E-2</v>
      </c>
      <c r="D74" s="2">
        <v>0.2571</v>
      </c>
      <c r="E74" s="13">
        <v>3.6</v>
      </c>
      <c r="H74">
        <v>29</v>
      </c>
      <c r="I74">
        <v>12</v>
      </c>
      <c r="J74">
        <v>10</v>
      </c>
      <c r="K74">
        <v>8</v>
      </c>
    </row>
    <row r="75" spans="1:11" ht="15.75" x14ac:dyDescent="0.25">
      <c r="A75" s="14">
        <v>1986</v>
      </c>
      <c r="B75" s="1">
        <v>0.18490000000000001</v>
      </c>
      <c r="C75" s="1">
        <v>6.0400000000000002E-2</v>
      </c>
      <c r="D75" s="1">
        <v>0.24279999999999999</v>
      </c>
      <c r="E75" s="15">
        <v>1.9</v>
      </c>
      <c r="H75">
        <v>28</v>
      </c>
      <c r="I75">
        <v>12</v>
      </c>
      <c r="J75">
        <v>9</v>
      </c>
      <c r="K75">
        <v>8</v>
      </c>
    </row>
    <row r="76" spans="1:11" ht="15.75" x14ac:dyDescent="0.25">
      <c r="A76" s="12">
        <v>1987</v>
      </c>
      <c r="B76" s="2">
        <v>5.8099999999999999E-2</v>
      </c>
      <c r="C76" s="2">
        <v>5.7200000000000001E-2</v>
      </c>
      <c r="D76" s="2">
        <v>-4.9599999999999998E-2</v>
      </c>
      <c r="E76" s="13">
        <v>3.6</v>
      </c>
      <c r="H76">
        <v>29</v>
      </c>
      <c r="I76">
        <v>11</v>
      </c>
      <c r="J76">
        <v>9</v>
      </c>
      <c r="K76">
        <v>8</v>
      </c>
    </row>
    <row r="77" spans="1:11" ht="15.75" x14ac:dyDescent="0.25">
      <c r="A77" s="14">
        <v>1988</v>
      </c>
      <c r="B77" s="1">
        <v>0.16539999999999999</v>
      </c>
      <c r="C77" s="1">
        <v>6.4500000000000002E-2</v>
      </c>
      <c r="D77" s="1">
        <v>8.2199999999999995E-2</v>
      </c>
      <c r="E77" s="15">
        <v>4.0999999999999996</v>
      </c>
      <c r="H77">
        <v>29</v>
      </c>
      <c r="I77">
        <v>11</v>
      </c>
      <c r="J77">
        <v>8</v>
      </c>
      <c r="K77">
        <v>7</v>
      </c>
    </row>
    <row r="78" spans="1:11" ht="15.75" x14ac:dyDescent="0.25">
      <c r="A78" s="12">
        <v>1989</v>
      </c>
      <c r="B78" s="2">
        <v>0.31480000000000002</v>
      </c>
      <c r="C78" s="2">
        <v>8.1100000000000005E-2</v>
      </c>
      <c r="D78" s="2">
        <v>0.1769</v>
      </c>
      <c r="E78" s="13">
        <v>4.8</v>
      </c>
      <c r="H78">
        <v>28</v>
      </c>
      <c r="I78">
        <v>15</v>
      </c>
      <c r="J78">
        <v>8</v>
      </c>
      <c r="K78">
        <v>7</v>
      </c>
    </row>
    <row r="79" spans="1:11" ht="15.75" x14ac:dyDescent="0.25">
      <c r="A79" s="14">
        <v>1990</v>
      </c>
      <c r="B79" s="1">
        <v>-3.0599999999999999E-2</v>
      </c>
      <c r="C79" s="1">
        <v>7.5499999999999998E-2</v>
      </c>
      <c r="D79" s="1">
        <v>6.2399999999999997E-2</v>
      </c>
      <c r="E79" s="15">
        <v>5.4</v>
      </c>
      <c r="I79">
        <v>16</v>
      </c>
      <c r="J79">
        <v>8</v>
      </c>
      <c r="K79">
        <v>7</v>
      </c>
    </row>
    <row r="80" spans="1:11" ht="15.75" x14ac:dyDescent="0.25">
      <c r="A80" s="12">
        <v>1991</v>
      </c>
      <c r="B80" s="2">
        <v>0.30230000000000001</v>
      </c>
      <c r="C80" s="2">
        <v>5.6099999999999997E-2</v>
      </c>
      <c r="D80" s="2">
        <v>0.15</v>
      </c>
      <c r="E80" s="13">
        <v>4.2</v>
      </c>
      <c r="I80">
        <v>16</v>
      </c>
      <c r="J80">
        <v>7</v>
      </c>
      <c r="K80">
        <v>6</v>
      </c>
    </row>
    <row r="81" spans="1:11" ht="15.75" x14ac:dyDescent="0.25">
      <c r="A81" s="14">
        <v>1992</v>
      </c>
      <c r="B81" s="1">
        <v>7.4899999999999994E-2</v>
      </c>
      <c r="C81" s="1">
        <v>3.4099999999999998E-2</v>
      </c>
      <c r="D81" s="1">
        <v>9.3600000000000003E-2</v>
      </c>
      <c r="E81" s="15">
        <v>3</v>
      </c>
      <c r="I81">
        <v>18</v>
      </c>
      <c r="J81">
        <v>7</v>
      </c>
      <c r="K81">
        <v>6</v>
      </c>
    </row>
    <row r="82" spans="1:11" ht="15.75" x14ac:dyDescent="0.25">
      <c r="A82" s="12">
        <v>1993</v>
      </c>
      <c r="B82" s="2">
        <v>9.9699999999999997E-2</v>
      </c>
      <c r="C82" s="2">
        <v>2.98E-2</v>
      </c>
      <c r="D82" s="2">
        <v>0.1421</v>
      </c>
      <c r="E82" s="13">
        <v>3</v>
      </c>
      <c r="I82">
        <v>19</v>
      </c>
      <c r="J82">
        <v>10</v>
      </c>
      <c r="K82">
        <v>6</v>
      </c>
    </row>
    <row r="83" spans="1:11" ht="15.75" x14ac:dyDescent="0.25">
      <c r="A83" s="14">
        <v>1994</v>
      </c>
      <c r="B83" s="1">
        <v>1.3299999999999999E-2</v>
      </c>
      <c r="C83" s="1">
        <v>3.9899999999999998E-2</v>
      </c>
      <c r="D83" s="1">
        <v>-8.0399999999999999E-2</v>
      </c>
      <c r="E83" s="15">
        <v>2.6</v>
      </c>
      <c r="I83">
        <v>18</v>
      </c>
      <c r="J83">
        <v>10</v>
      </c>
      <c r="K83">
        <v>9</v>
      </c>
    </row>
    <row r="84" spans="1:11" ht="15.75" x14ac:dyDescent="0.25">
      <c r="A84" s="12">
        <v>1995</v>
      </c>
      <c r="B84" s="2">
        <v>0.372</v>
      </c>
      <c r="C84" s="2">
        <v>5.5199999999999999E-2</v>
      </c>
      <c r="D84" s="2">
        <v>0.23480000000000001</v>
      </c>
      <c r="E84" s="13">
        <v>2.8</v>
      </c>
      <c r="I84">
        <v>18</v>
      </c>
      <c r="J84">
        <v>11</v>
      </c>
      <c r="K84">
        <v>9</v>
      </c>
    </row>
    <row r="85" spans="1:11" ht="15.75" x14ac:dyDescent="0.25">
      <c r="A85" s="14">
        <v>1996</v>
      </c>
      <c r="B85" s="1">
        <v>0.2268</v>
      </c>
      <c r="C85" s="1">
        <v>5.0200000000000002E-2</v>
      </c>
      <c r="D85" s="1">
        <v>1.43E-2</v>
      </c>
      <c r="E85" s="15">
        <v>3</v>
      </c>
      <c r="I85">
        <v>17</v>
      </c>
      <c r="J85">
        <v>11</v>
      </c>
      <c r="K85">
        <v>10</v>
      </c>
    </row>
    <row r="86" spans="1:11" ht="15.75" x14ac:dyDescent="0.25">
      <c r="A86" s="12">
        <v>1997</v>
      </c>
      <c r="B86" s="2">
        <v>0.33100000000000002</v>
      </c>
      <c r="C86" s="2">
        <v>5.0500000000000003E-2</v>
      </c>
      <c r="D86" s="2">
        <v>9.9400000000000002E-2</v>
      </c>
      <c r="E86" s="13">
        <v>2.2999999999999998</v>
      </c>
      <c r="I86">
        <v>17</v>
      </c>
      <c r="J86">
        <v>13</v>
      </c>
      <c r="K86">
        <v>9</v>
      </c>
    </row>
    <row r="87" spans="1:11" ht="15.75" x14ac:dyDescent="0.25">
      <c r="A87" s="14">
        <v>1998</v>
      </c>
      <c r="B87" s="1">
        <v>0.28339999999999999</v>
      </c>
      <c r="C87" s="1">
        <v>4.7300000000000002E-2</v>
      </c>
      <c r="D87" s="1">
        <v>0.1492</v>
      </c>
      <c r="E87" s="15">
        <v>1.6</v>
      </c>
      <c r="I87">
        <v>16</v>
      </c>
      <c r="J87">
        <v>12</v>
      </c>
      <c r="K87">
        <v>9</v>
      </c>
    </row>
    <row r="88" spans="1:11" ht="15.75" x14ac:dyDescent="0.25">
      <c r="A88" s="12">
        <v>1999</v>
      </c>
      <c r="B88" s="2">
        <v>0.2089</v>
      </c>
      <c r="C88" s="2">
        <v>4.5100000000000001E-2</v>
      </c>
      <c r="D88" s="2">
        <v>-8.2500000000000004E-2</v>
      </c>
      <c r="E88" s="13">
        <v>2.2000000000000002</v>
      </c>
      <c r="I88">
        <v>16</v>
      </c>
      <c r="J88">
        <v>12</v>
      </c>
      <c r="K88">
        <v>11</v>
      </c>
    </row>
    <row r="89" spans="1:11" ht="15.75" x14ac:dyDescent="0.25">
      <c r="A89" s="14">
        <v>2000</v>
      </c>
      <c r="B89" s="1">
        <v>-9.0300000000000005E-2</v>
      </c>
      <c r="C89" s="1">
        <v>5.7599999999999998E-2</v>
      </c>
      <c r="D89" s="1">
        <v>0.1666</v>
      </c>
      <c r="E89" s="15">
        <v>3.4</v>
      </c>
      <c r="I89">
        <v>16</v>
      </c>
      <c r="J89">
        <v>12</v>
      </c>
      <c r="K89">
        <v>10</v>
      </c>
    </row>
    <row r="90" spans="1:11" ht="15.75" x14ac:dyDescent="0.25">
      <c r="A90" s="12">
        <v>2001</v>
      </c>
      <c r="B90" s="2">
        <v>-0.11849999999999999</v>
      </c>
      <c r="C90" s="2">
        <v>3.6700000000000003E-2</v>
      </c>
      <c r="D90" s="2">
        <v>5.57E-2</v>
      </c>
      <c r="E90" s="13">
        <v>2.8</v>
      </c>
      <c r="I90">
        <v>15</v>
      </c>
      <c r="J90">
        <v>11</v>
      </c>
      <c r="K90">
        <v>9</v>
      </c>
    </row>
    <row r="91" spans="1:11" ht="15.75" x14ac:dyDescent="0.25">
      <c r="A91" s="14">
        <v>2002</v>
      </c>
      <c r="B91" s="1">
        <v>-0.21970000000000001</v>
      </c>
      <c r="C91" s="1">
        <v>1.66E-2</v>
      </c>
      <c r="D91" s="1">
        <v>0.1512</v>
      </c>
      <c r="E91" s="15">
        <v>1.6</v>
      </c>
      <c r="I91">
        <v>15</v>
      </c>
      <c r="J91">
        <v>11</v>
      </c>
      <c r="K91">
        <v>9</v>
      </c>
    </row>
    <row r="92" spans="1:11" ht="15.75" x14ac:dyDescent="0.25">
      <c r="A92" s="12">
        <v>2003</v>
      </c>
      <c r="B92" s="2">
        <v>0.28360000000000002</v>
      </c>
      <c r="C92" s="2">
        <v>1.03E-2</v>
      </c>
      <c r="D92" s="2">
        <v>3.8E-3</v>
      </c>
      <c r="E92" s="13">
        <v>2.2999999999999998</v>
      </c>
      <c r="I92">
        <v>14</v>
      </c>
      <c r="J92">
        <v>10</v>
      </c>
      <c r="K92">
        <v>9</v>
      </c>
    </row>
    <row r="93" spans="1:11" ht="15.75" x14ac:dyDescent="0.25">
      <c r="A93" s="14">
        <v>2004</v>
      </c>
      <c r="B93" s="1">
        <v>0.1074</v>
      </c>
      <c r="C93" s="1">
        <v>1.23E-2</v>
      </c>
      <c r="D93" s="1">
        <v>4.4900000000000002E-2</v>
      </c>
      <c r="E93" s="15">
        <v>2.7</v>
      </c>
      <c r="J93">
        <v>10</v>
      </c>
      <c r="K93">
        <v>9</v>
      </c>
    </row>
    <row r="94" spans="1:11" ht="15.75" x14ac:dyDescent="0.25">
      <c r="A94" s="12">
        <v>2005</v>
      </c>
      <c r="B94" s="2">
        <v>4.8300000000000003E-2</v>
      </c>
      <c r="C94" s="2">
        <v>3.0099999999999998E-2</v>
      </c>
      <c r="D94" s="2">
        <v>2.87E-2</v>
      </c>
      <c r="E94" s="13">
        <v>3.4</v>
      </c>
      <c r="J94">
        <v>9</v>
      </c>
      <c r="K94">
        <v>8</v>
      </c>
    </row>
    <row r="95" spans="1:11" ht="15.75" x14ac:dyDescent="0.25">
      <c r="A95" s="14">
        <v>2006</v>
      </c>
      <c r="B95" s="1">
        <v>0.15609999999999999</v>
      </c>
      <c r="C95" s="1">
        <v>4.6800000000000001E-2</v>
      </c>
      <c r="D95" s="1">
        <v>1.9599999999999999E-2</v>
      </c>
      <c r="E95" s="15">
        <v>3.2</v>
      </c>
      <c r="J95">
        <v>9</v>
      </c>
      <c r="K95">
        <v>8</v>
      </c>
    </row>
    <row r="96" spans="1:11" ht="15.75" x14ac:dyDescent="0.25">
      <c r="A96" s="12">
        <v>2007</v>
      </c>
      <c r="B96" s="2">
        <v>5.4800000000000001E-2</v>
      </c>
      <c r="C96" s="2">
        <v>4.6399999999999997E-2</v>
      </c>
      <c r="D96" s="2">
        <v>0.1021</v>
      </c>
      <c r="E96" s="13">
        <v>2.8</v>
      </c>
      <c r="J96">
        <v>9</v>
      </c>
      <c r="K96">
        <v>7</v>
      </c>
    </row>
    <row r="97" spans="1:11" ht="15.75" x14ac:dyDescent="0.25">
      <c r="A97" s="14">
        <v>2008</v>
      </c>
      <c r="B97" s="1">
        <v>-0.36549999999999999</v>
      </c>
      <c r="C97" s="1">
        <v>1.5900000000000001E-2</v>
      </c>
      <c r="D97" s="1">
        <v>0.20100000000000001</v>
      </c>
      <c r="E97" s="15">
        <v>3.8</v>
      </c>
      <c r="J97">
        <v>9</v>
      </c>
      <c r="K97">
        <v>7</v>
      </c>
    </row>
    <row r="98" spans="1:11" ht="15.75" x14ac:dyDescent="0.25">
      <c r="A98" s="12">
        <v>2009</v>
      </c>
      <c r="B98" s="2">
        <v>0.25940000000000002</v>
      </c>
      <c r="C98" s="2">
        <v>1.4E-3</v>
      </c>
      <c r="D98" s="2">
        <v>-0.11119999999999999</v>
      </c>
      <c r="E98" s="13">
        <v>-0.4</v>
      </c>
      <c r="K98">
        <v>8</v>
      </c>
    </row>
    <row r="99" spans="1:11" ht="15.75" x14ac:dyDescent="0.25">
      <c r="A99" s="14">
        <v>2010</v>
      </c>
      <c r="B99" s="1">
        <v>0.1482</v>
      </c>
      <c r="C99" s="1">
        <v>1.2999999999999999E-3</v>
      </c>
      <c r="D99" s="1">
        <v>8.4599999999999995E-2</v>
      </c>
      <c r="E99" s="15">
        <v>1.6</v>
      </c>
      <c r="K99">
        <v>7</v>
      </c>
    </row>
    <row r="100" spans="1:11" ht="15.75" x14ac:dyDescent="0.25">
      <c r="A100" s="12">
        <v>2011</v>
      </c>
      <c r="B100" s="2">
        <v>2.1000000000000001E-2</v>
      </c>
      <c r="C100" s="2">
        <v>2.9999999999999997E-4</v>
      </c>
      <c r="D100" s="2">
        <v>0.16039999999999999</v>
      </c>
      <c r="E100" s="13">
        <v>3.2</v>
      </c>
    </row>
    <row r="101" spans="1:11" ht="15.75" x14ac:dyDescent="0.25">
      <c r="A101" s="14">
        <v>2012</v>
      </c>
      <c r="B101" s="1">
        <v>0.15890000000000001</v>
      </c>
      <c r="C101" s="1">
        <v>5.0000000000000001E-4</v>
      </c>
      <c r="D101" s="1">
        <v>2.9700000000000001E-2</v>
      </c>
      <c r="E101" s="15">
        <v>2.1</v>
      </c>
    </row>
    <row r="102" spans="1:11" ht="15.75" x14ac:dyDescent="0.25">
      <c r="A102" s="12">
        <v>2013</v>
      </c>
      <c r="B102" s="2">
        <v>0.32150000000000001</v>
      </c>
      <c r="C102" s="2">
        <v>6.9999999999999999E-4</v>
      </c>
      <c r="D102" s="2">
        <v>-9.0999999999999998E-2</v>
      </c>
      <c r="E102" s="13">
        <v>1.5</v>
      </c>
    </row>
    <row r="103" spans="1:11" ht="15.75" x14ac:dyDescent="0.25">
      <c r="A103" s="14">
        <v>2014</v>
      </c>
      <c r="B103" s="1">
        <v>0.13519999999999999</v>
      </c>
      <c r="C103" s="1">
        <v>5.0000000000000001E-4</v>
      </c>
      <c r="D103" s="1">
        <v>0.1075</v>
      </c>
      <c r="E103" s="16">
        <v>1.6</v>
      </c>
    </row>
    <row r="104" spans="1:11" ht="15.75" x14ac:dyDescent="0.25">
      <c r="A104" s="17">
        <v>2015</v>
      </c>
      <c r="B104" s="2">
        <v>1.38E-2</v>
      </c>
      <c r="C104" s="4">
        <v>2.0999999999999999E-3</v>
      </c>
      <c r="D104" s="2">
        <v>1.2800000000000001E-2</v>
      </c>
      <c r="E104" s="13">
        <v>0.1</v>
      </c>
    </row>
    <row r="105" spans="1:11" ht="15.75" x14ac:dyDescent="0.25">
      <c r="A105" s="18">
        <v>2016</v>
      </c>
      <c r="B105" s="1">
        <v>0.1177</v>
      </c>
      <c r="C105" s="3">
        <v>5.1000000000000004E-3</v>
      </c>
      <c r="D105" s="1">
        <v>6.8999999999999999E-3</v>
      </c>
      <c r="E105" s="16">
        <v>1.3</v>
      </c>
    </row>
    <row r="106" spans="1:11" ht="16.5" thickBot="1" x14ac:dyDescent="0.3">
      <c r="A106" s="19">
        <v>2017</v>
      </c>
      <c r="B106" s="20">
        <v>0.21640000000000001</v>
      </c>
      <c r="C106" s="20">
        <v>1.3899999999999999E-2</v>
      </c>
      <c r="D106" s="20">
        <v>2.8000000000000001E-2</v>
      </c>
      <c r="E106" s="21">
        <v>2.1</v>
      </c>
    </row>
  </sheetData>
  <mergeCells count="6">
    <mergeCell ref="A1:B1"/>
    <mergeCell ref="A8:A16"/>
    <mergeCell ref="B8:B16"/>
    <mergeCell ref="C8:C16"/>
    <mergeCell ref="D8:D16"/>
    <mergeCell ref="E8:E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calcYearsToFI">
                <anchor moveWithCells="1" sizeWithCells="1">
                  <from>
                    <xdr:col>10</xdr:col>
                    <xdr:colOff>123825</xdr:colOff>
                    <xdr:row>4</xdr:row>
                    <xdr:rowOff>114300</xdr:rowOff>
                  </from>
                  <to>
                    <xdr:col>12</xdr:col>
                    <xdr:colOff>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N135"/>
  <sheetViews>
    <sheetView tabSelected="1" zoomScaleNormal="100" workbookViewId="0">
      <pane xSplit="5" ySplit="17" topLeftCell="F96" activePane="bottomRight" state="frozen"/>
      <selection activeCell="H37" sqref="H37"/>
      <selection pane="topRight" activeCell="H37" sqref="H37"/>
      <selection pane="bottomLeft" activeCell="H37" sqref="H37"/>
      <selection pane="bottomRight" activeCell="D97" sqref="D97"/>
    </sheetView>
  </sheetViews>
  <sheetFormatPr defaultRowHeight="15" x14ac:dyDescent="0.25"/>
  <cols>
    <col min="1" max="1" width="15.85546875" bestFit="1" customWidth="1"/>
    <col min="2" max="2" width="12.7109375" bestFit="1" customWidth="1"/>
    <col min="6" max="6" width="22.5703125" bestFit="1" customWidth="1"/>
    <col min="7" max="7" width="13.85546875" bestFit="1" customWidth="1"/>
    <col min="8" max="16" width="12.7109375" bestFit="1" customWidth="1"/>
    <col min="17" max="35" width="13.85546875" bestFit="1" customWidth="1"/>
    <col min="36" max="36" width="14.5703125" bestFit="1" customWidth="1"/>
    <col min="37" max="74" width="13.85546875" bestFit="1" customWidth="1"/>
    <col min="75" max="86" width="14.5703125" bestFit="1" customWidth="1"/>
  </cols>
  <sheetData>
    <row r="1" spans="1:14" x14ac:dyDescent="0.25">
      <c r="A1" t="s">
        <v>12</v>
      </c>
      <c r="B1" s="39">
        <v>60000</v>
      </c>
      <c r="N1" t="s">
        <v>33</v>
      </c>
    </row>
    <row r="2" spans="1:14" x14ac:dyDescent="0.25">
      <c r="A2" t="s">
        <v>10</v>
      </c>
      <c r="B2" s="69">
        <v>3.8199999999999998E-2</v>
      </c>
      <c r="F2" s="37" t="s">
        <v>22</v>
      </c>
      <c r="N2" t="s">
        <v>34</v>
      </c>
    </row>
    <row r="3" spans="1:14" x14ac:dyDescent="0.25">
      <c r="A3" t="s">
        <v>14</v>
      </c>
      <c r="B3" s="45">
        <f>B1/B2</f>
        <v>1570680.6282722515</v>
      </c>
      <c r="F3" t="s">
        <v>18</v>
      </c>
      <c r="G3" s="39">
        <v>1</v>
      </c>
      <c r="N3" t="s">
        <v>35</v>
      </c>
    </row>
    <row r="4" spans="1:14" x14ac:dyDescent="0.25">
      <c r="F4" t="s">
        <v>20</v>
      </c>
      <c r="G4" s="40">
        <v>50</v>
      </c>
      <c r="H4" t="s">
        <v>19</v>
      </c>
    </row>
    <row r="5" spans="1:14" x14ac:dyDescent="0.25">
      <c r="F5" t="s">
        <v>6</v>
      </c>
      <c r="G5" s="41">
        <v>0.8</v>
      </c>
    </row>
    <row r="6" spans="1:14" x14ac:dyDescent="0.25">
      <c r="F6" t="s">
        <v>13</v>
      </c>
      <c r="G6" s="42">
        <f>100%-G5</f>
        <v>0.19999999999999996</v>
      </c>
    </row>
    <row r="7" spans="1:14" ht="15.75" thickBot="1" x14ac:dyDescent="0.3">
      <c r="F7" t="s">
        <v>10</v>
      </c>
      <c r="G7" s="69">
        <v>3.8199999999999998E-2</v>
      </c>
      <c r="I7" s="6"/>
    </row>
    <row r="8" spans="1:14" x14ac:dyDescent="0.25">
      <c r="A8" s="29" t="s">
        <v>1</v>
      </c>
      <c r="B8" s="30" t="s">
        <v>0</v>
      </c>
      <c r="C8" s="30" t="s">
        <v>4</v>
      </c>
      <c r="D8" s="30" t="s">
        <v>5</v>
      </c>
      <c r="E8" s="31" t="s">
        <v>31</v>
      </c>
      <c r="F8" s="37" t="s">
        <v>23</v>
      </c>
    </row>
    <row r="9" spans="1:14" x14ac:dyDescent="0.25">
      <c r="A9" s="23"/>
      <c r="B9" s="25"/>
      <c r="C9" s="25"/>
      <c r="D9" s="25"/>
      <c r="E9" s="27"/>
      <c r="F9" t="s">
        <v>27</v>
      </c>
      <c r="G9" s="43">
        <v>40</v>
      </c>
    </row>
    <row r="10" spans="1:14" x14ac:dyDescent="0.25">
      <c r="A10" s="23"/>
      <c r="B10" s="25"/>
      <c r="C10" s="25"/>
      <c r="D10" s="25"/>
      <c r="E10" s="27"/>
      <c r="F10" t="s">
        <v>32</v>
      </c>
      <c r="G10" s="46">
        <v>34</v>
      </c>
      <c r="H10" s="44">
        <f>G10/G9</f>
        <v>0.85</v>
      </c>
    </row>
    <row r="11" spans="1:14" x14ac:dyDescent="0.25">
      <c r="A11" s="23"/>
      <c r="B11" s="25"/>
      <c r="C11" s="25"/>
      <c r="D11" s="25"/>
      <c r="E11" s="27"/>
      <c r="F11" t="s">
        <v>29</v>
      </c>
      <c r="G11" s="43">
        <v>27</v>
      </c>
      <c r="H11" t="s">
        <v>28</v>
      </c>
    </row>
    <row r="12" spans="1:14" x14ac:dyDescent="0.25">
      <c r="A12" s="23"/>
      <c r="B12" s="25"/>
      <c r="C12" s="25"/>
      <c r="D12" s="25"/>
      <c r="E12" s="27"/>
      <c r="F12" t="s">
        <v>24</v>
      </c>
      <c r="G12" s="45">
        <v>0</v>
      </c>
    </row>
    <row r="13" spans="1:14" x14ac:dyDescent="0.25">
      <c r="A13" s="23"/>
      <c r="B13" s="25"/>
      <c r="C13" s="25"/>
      <c r="D13" s="25"/>
      <c r="E13" s="27"/>
      <c r="F13" t="s">
        <v>25</v>
      </c>
      <c r="G13" s="45">
        <v>23.084599999999998</v>
      </c>
    </row>
    <row r="14" spans="1:14" x14ac:dyDescent="0.25">
      <c r="A14" s="23"/>
      <c r="B14" s="25"/>
      <c r="C14" s="25"/>
      <c r="D14" s="25"/>
      <c r="E14" s="27"/>
      <c r="F14" t="s">
        <v>26</v>
      </c>
      <c r="G14" s="45">
        <v>5.214142500000003</v>
      </c>
    </row>
    <row r="15" spans="1:14" x14ac:dyDescent="0.25">
      <c r="A15" s="23"/>
      <c r="B15" s="25"/>
      <c r="C15" s="25"/>
      <c r="D15" s="25"/>
      <c r="E15" s="27"/>
      <c r="F15" t="s">
        <v>30</v>
      </c>
      <c r="G15" s="43">
        <v>30</v>
      </c>
      <c r="H15" s="44">
        <f>G15/G9</f>
        <v>0.75</v>
      </c>
    </row>
    <row r="16" spans="1:14" x14ac:dyDescent="0.25">
      <c r="A16" s="23"/>
      <c r="B16" s="25"/>
      <c r="C16" s="25"/>
      <c r="D16" s="25"/>
      <c r="E16" s="27"/>
    </row>
    <row r="17" spans="1:66" ht="15.75" thickBot="1" x14ac:dyDescent="0.3">
      <c r="A17" s="24"/>
      <c r="B17" s="26"/>
      <c r="C17" s="26"/>
      <c r="D17" s="26"/>
      <c r="E17" s="28"/>
      <c r="F17" s="37">
        <v>0</v>
      </c>
      <c r="G17" s="37">
        <v>1</v>
      </c>
      <c r="H17" s="37">
        <v>2</v>
      </c>
      <c r="I17" s="37">
        <v>3</v>
      </c>
      <c r="J17" s="37">
        <v>4</v>
      </c>
      <c r="K17" s="37">
        <v>5</v>
      </c>
      <c r="L17" s="37">
        <v>6</v>
      </c>
      <c r="M17" s="37">
        <v>7</v>
      </c>
      <c r="N17" s="37">
        <v>8</v>
      </c>
      <c r="O17" s="37">
        <v>9</v>
      </c>
      <c r="P17" s="37">
        <v>10</v>
      </c>
      <c r="Q17" s="37">
        <v>11</v>
      </c>
      <c r="R17" s="37">
        <v>12</v>
      </c>
      <c r="S17" s="37">
        <v>13</v>
      </c>
      <c r="T17" s="37">
        <v>14</v>
      </c>
      <c r="U17" s="37">
        <v>15</v>
      </c>
      <c r="V17" s="37">
        <v>16</v>
      </c>
      <c r="W17" s="37">
        <v>17</v>
      </c>
      <c r="X17" s="37">
        <v>18</v>
      </c>
      <c r="Y17" s="37">
        <v>19</v>
      </c>
      <c r="Z17" s="37">
        <v>20</v>
      </c>
      <c r="AA17" s="37">
        <v>21</v>
      </c>
      <c r="AB17" s="37">
        <v>22</v>
      </c>
      <c r="AC17" s="37">
        <v>23</v>
      </c>
      <c r="AD17" s="37">
        <v>24</v>
      </c>
      <c r="AE17" s="37">
        <v>25</v>
      </c>
      <c r="AF17" s="37">
        <v>26</v>
      </c>
      <c r="AG17" s="37">
        <v>27</v>
      </c>
      <c r="AH17" s="37">
        <v>28</v>
      </c>
      <c r="AI17" s="37">
        <v>29</v>
      </c>
      <c r="AJ17" s="37">
        <v>30</v>
      </c>
      <c r="AK17" s="37">
        <v>31</v>
      </c>
      <c r="AL17" s="37">
        <v>32</v>
      </c>
      <c r="AM17" s="37">
        <v>33</v>
      </c>
      <c r="AN17" s="37">
        <v>34</v>
      </c>
      <c r="AO17" s="37">
        <v>35</v>
      </c>
      <c r="AP17" s="37">
        <v>36</v>
      </c>
      <c r="AQ17" s="37">
        <v>37</v>
      </c>
      <c r="AR17" s="37">
        <v>38</v>
      </c>
      <c r="AS17" s="37">
        <v>39</v>
      </c>
      <c r="AT17" s="37">
        <v>40</v>
      </c>
      <c r="AU17" s="37">
        <v>41</v>
      </c>
      <c r="AV17" s="37">
        <v>42</v>
      </c>
      <c r="AW17" s="37">
        <v>43</v>
      </c>
      <c r="AX17" s="37">
        <v>44</v>
      </c>
      <c r="AY17" s="37">
        <v>45</v>
      </c>
      <c r="AZ17" s="37">
        <v>46</v>
      </c>
      <c r="BA17" s="37">
        <v>47</v>
      </c>
      <c r="BB17" s="37">
        <v>48</v>
      </c>
      <c r="BC17" s="37">
        <v>49</v>
      </c>
      <c r="BD17" s="37">
        <v>50</v>
      </c>
      <c r="BE17" s="37">
        <v>51</v>
      </c>
      <c r="BF17" s="37">
        <v>52</v>
      </c>
      <c r="BG17" s="37">
        <v>53</v>
      </c>
      <c r="BH17" s="37">
        <v>54</v>
      </c>
      <c r="BI17" s="37">
        <v>55</v>
      </c>
      <c r="BJ17" s="37">
        <v>56</v>
      </c>
      <c r="BK17" s="37">
        <v>57</v>
      </c>
      <c r="BL17" s="37">
        <v>58</v>
      </c>
      <c r="BM17" s="37">
        <v>59</v>
      </c>
      <c r="BN17" s="37">
        <v>60</v>
      </c>
    </row>
    <row r="18" spans="1:66" ht="15.75" x14ac:dyDescent="0.25">
      <c r="A18" s="10">
        <v>1928</v>
      </c>
      <c r="B18" s="7">
        <v>0.43809999999999999</v>
      </c>
      <c r="C18" s="7">
        <v>3.0800000000000001E-2</v>
      </c>
      <c r="D18" s="7">
        <v>8.3999999999999995E-3</v>
      </c>
      <c r="E18" s="11">
        <v>-1.7</v>
      </c>
      <c r="F18" s="6">
        <f>$G$3</f>
        <v>1</v>
      </c>
      <c r="G18" s="6">
        <v>1.3226161152959999</v>
      </c>
      <c r="H18" s="6">
        <v>1.2099199806088319</v>
      </c>
      <c r="I18" s="6">
        <v>0.96866882879639005</v>
      </c>
      <c r="J18" s="6">
        <v>0.65331417282565607</v>
      </c>
      <c r="K18" s="6">
        <v>0.64116889600568561</v>
      </c>
      <c r="L18" s="6">
        <v>0.88946447788530481</v>
      </c>
      <c r="M18" s="6">
        <v>0.8301544808569139</v>
      </c>
      <c r="N18" s="6">
        <v>1.0710686055830407</v>
      </c>
      <c r="O18" s="6">
        <v>1.2875498345944478</v>
      </c>
      <c r="P18" s="6">
        <v>0.86719690812493633</v>
      </c>
      <c r="Q18" s="6">
        <v>1.0517946851053945</v>
      </c>
      <c r="R18" s="6">
        <v>1.0278055663970838</v>
      </c>
      <c r="S18" s="6">
        <v>0.90940983133895159</v>
      </c>
      <c r="T18" s="6">
        <v>0.7397529798882172</v>
      </c>
      <c r="U18" s="6">
        <v>0.72380942546080018</v>
      </c>
      <c r="V18" s="6">
        <v>0.77605977899700151</v>
      </c>
      <c r="W18" s="6">
        <v>0.83948092677154018</v>
      </c>
      <c r="X18" s="6">
        <v>1.0131350525342715</v>
      </c>
      <c r="Y18" s="6">
        <v>0.83931957836054605</v>
      </c>
      <c r="Z18" s="6">
        <v>0.71554770219491615</v>
      </c>
      <c r="AA18" s="6">
        <v>0.65329542396382589</v>
      </c>
      <c r="AB18" s="6">
        <v>0.7194086203840746</v>
      </c>
      <c r="AC18" s="6">
        <v>0.83865267666272325</v>
      </c>
      <c r="AD18" s="6">
        <v>0.87643295747393879</v>
      </c>
      <c r="AE18" s="6">
        <v>0.9454387112760908</v>
      </c>
      <c r="AF18" s="6">
        <v>0.89872082846366186</v>
      </c>
      <c r="AG18" s="6">
        <v>1.2194187494930817</v>
      </c>
      <c r="AH18" s="6">
        <v>1.492059392844685</v>
      </c>
      <c r="AI18" s="6">
        <v>1.5108143345593754</v>
      </c>
      <c r="AJ18" s="6">
        <v>1.3242228757676704</v>
      </c>
      <c r="AK18" s="6">
        <v>1.6819691543778439</v>
      </c>
      <c r="AL18" s="6">
        <v>1.7810924896928979</v>
      </c>
      <c r="AM18" s="6">
        <v>1.7578081636196896</v>
      </c>
      <c r="AN18" s="6">
        <v>2.0722440826735866</v>
      </c>
      <c r="AO18" s="6">
        <v>1.8946937566137021</v>
      </c>
      <c r="AP18" s="6">
        <v>2.1699532221698918</v>
      </c>
      <c r="AQ18" s="6">
        <v>2.3961233228133869</v>
      </c>
      <c r="AR18" s="6">
        <v>2.5537011304049853</v>
      </c>
      <c r="AS18" s="6">
        <v>2.2619493324949782</v>
      </c>
      <c r="AT18" s="6">
        <v>2.5582803086284867</v>
      </c>
      <c r="AU18" s="6">
        <v>2.6388092554217497</v>
      </c>
      <c r="AV18" s="6">
        <v>2.2709474441939461</v>
      </c>
      <c r="AW18" s="6">
        <v>2.2359785423303369</v>
      </c>
      <c r="AX18" s="6">
        <v>2.3812337985054191</v>
      </c>
      <c r="AY18" s="6">
        <v>2.6212385089172052</v>
      </c>
      <c r="AZ18" s="6">
        <v>2.1632532159589357</v>
      </c>
      <c r="BA18" s="6">
        <v>1.5069479122564673</v>
      </c>
      <c r="BB18" s="6">
        <v>1.739918403677684</v>
      </c>
      <c r="BC18" s="6">
        <v>1.9598507069568287</v>
      </c>
      <c r="BD18" s="6">
        <v>1.7010488569345283</v>
      </c>
    </row>
    <row r="19" spans="1:66" ht="15.75" x14ac:dyDescent="0.25">
      <c r="A19" s="12">
        <v>1929</v>
      </c>
      <c r="B19" s="2">
        <v>-8.3000000000000004E-2</v>
      </c>
      <c r="C19" s="2">
        <v>3.1600000000000003E-2</v>
      </c>
      <c r="D19" s="2">
        <v>4.2000000000000003E-2</v>
      </c>
      <c r="E19" s="13">
        <v>0</v>
      </c>
      <c r="F19" s="6">
        <f t="shared" ref="F19:F82" si="0">$G$3</f>
        <v>1</v>
      </c>
      <c r="G19" s="6">
        <v>0.90601560000000003</v>
      </c>
      <c r="H19" s="6">
        <v>0.71742902295345601</v>
      </c>
      <c r="I19" s="6">
        <v>0.47691006249401102</v>
      </c>
      <c r="J19" s="6">
        <v>0.45729274151450355</v>
      </c>
      <c r="K19" s="6">
        <v>0.61822112050238154</v>
      </c>
      <c r="L19" s="6">
        <v>0.56563752474771523</v>
      </c>
      <c r="M19" s="6">
        <v>0.7133260658522278</v>
      </c>
      <c r="N19" s="6">
        <v>0.84159635574144609</v>
      </c>
      <c r="O19" s="6">
        <v>0.55765232155650024</v>
      </c>
      <c r="P19" s="6">
        <v>0.65905817696541402</v>
      </c>
      <c r="Q19" s="6">
        <v>0.62956278244675867</v>
      </c>
      <c r="R19" s="6">
        <v>0.54343987797381565</v>
      </c>
      <c r="S19" s="6">
        <v>0.42900423278634658</v>
      </c>
      <c r="T19" s="6">
        <v>0.40320231730154632</v>
      </c>
      <c r="U19" s="6">
        <v>0.41315595611604838</v>
      </c>
      <c r="V19" s="6">
        <v>0.42659646520736627</v>
      </c>
      <c r="W19" s="6">
        <v>0.49108628451627151</v>
      </c>
      <c r="X19" s="6">
        <v>0.38988886939431205</v>
      </c>
      <c r="Y19" s="6">
        <v>0.31412309620196555</v>
      </c>
      <c r="Z19" s="6">
        <v>0.26612520501738185</v>
      </c>
      <c r="AA19" s="6">
        <v>0.2665787305580008</v>
      </c>
      <c r="AB19" s="6">
        <v>0.28116266873915191</v>
      </c>
      <c r="AC19" s="6">
        <v>0.26602508371464895</v>
      </c>
      <c r="AD19" s="6">
        <v>0.25696275912682892</v>
      </c>
      <c r="AE19" s="6">
        <v>0.21670883933393892</v>
      </c>
      <c r="AF19" s="6">
        <v>0.25295962449007159</v>
      </c>
      <c r="AG19" s="6">
        <v>0.27127415227850266</v>
      </c>
      <c r="AH19" s="6">
        <v>0.24220483219401298</v>
      </c>
      <c r="AI19" s="6">
        <v>0.18344780382657927</v>
      </c>
      <c r="AJ19" s="6">
        <v>0.18996732513921902</v>
      </c>
      <c r="AK19" s="6">
        <v>0.16444623155649513</v>
      </c>
      <c r="AL19" s="6">
        <v>0.1273266468061556</v>
      </c>
      <c r="AM19" s="6">
        <v>0.10740363436274158</v>
      </c>
      <c r="AN19" s="6">
        <v>6.4462562576184518E-2</v>
      </c>
      <c r="AO19" s="6">
        <v>3.0696861802852887E-2</v>
      </c>
      <c r="AP19" s="6">
        <v>-8.4336424317332983E-3</v>
      </c>
      <c r="AQ19" s="6">
        <v>-5.0505622570765928E-2</v>
      </c>
      <c r="AR19" s="6">
        <v>-7.9764473701584862E-2</v>
      </c>
      <c r="AS19" s="6">
        <v>-0.13571052536298805</v>
      </c>
      <c r="AT19" s="6">
        <v>-0.18210399977009858</v>
      </c>
      <c r="AU19" s="6">
        <v>-0.19237753775604161</v>
      </c>
      <c r="AV19" s="6">
        <v>-0.2309112157340299</v>
      </c>
      <c r="AW19" s="6">
        <v>-0.29157474700944519</v>
      </c>
      <c r="AX19" s="6">
        <v>-0.36893119795411589</v>
      </c>
      <c r="AY19" s="6">
        <v>-0.34096583161690891</v>
      </c>
      <c r="AZ19" s="6">
        <v>-0.26887945867099139</v>
      </c>
      <c r="BA19" s="6">
        <v>-0.36377461174545145</v>
      </c>
      <c r="BB19" s="6">
        <v>-0.46294981902142951</v>
      </c>
      <c r="BC19" s="6">
        <v>-0.44361877198242555</v>
      </c>
      <c r="BD19" s="6">
        <v>-0.46769207686091141</v>
      </c>
    </row>
    <row r="20" spans="1:66" ht="15.75" x14ac:dyDescent="0.25">
      <c r="A20" s="14">
        <v>1930</v>
      </c>
      <c r="B20" s="1">
        <v>-0.25119999999999998</v>
      </c>
      <c r="C20" s="1">
        <v>4.5499999999999999E-2</v>
      </c>
      <c r="D20" s="1">
        <v>4.5400000000000003E-2</v>
      </c>
      <c r="E20" s="15">
        <v>-2.2999999999999998</v>
      </c>
      <c r="F20" s="6">
        <f t="shared" si="0"/>
        <v>1</v>
      </c>
      <c r="G20" s="6">
        <v>0.7951265617679999</v>
      </c>
      <c r="H20" s="6">
        <v>0.53146417729103756</v>
      </c>
      <c r="I20" s="6">
        <v>0.51415763441120976</v>
      </c>
      <c r="J20" s="6">
        <v>0.70210488731926157</v>
      </c>
      <c r="K20" s="6">
        <v>0.64744110836156354</v>
      </c>
      <c r="L20" s="6">
        <v>0.82396026560847657</v>
      </c>
      <c r="M20" s="6">
        <v>0.97951036031731176</v>
      </c>
      <c r="N20" s="6">
        <v>0.65338099181653353</v>
      </c>
      <c r="O20" s="6">
        <v>0.78051448832783887</v>
      </c>
      <c r="P20" s="6">
        <v>0.75272194530225189</v>
      </c>
      <c r="Q20" s="6">
        <v>0.65661845873709235</v>
      </c>
      <c r="R20" s="6">
        <v>0.52510529749825241</v>
      </c>
      <c r="S20" s="6">
        <v>0.50235214408494755</v>
      </c>
      <c r="T20" s="6">
        <v>0.52538631614851383</v>
      </c>
      <c r="U20" s="6">
        <v>0.55428366179101496</v>
      </c>
      <c r="V20" s="6">
        <v>0.65253325061336043</v>
      </c>
      <c r="W20" s="6">
        <v>0.52887822992654576</v>
      </c>
      <c r="X20" s="6">
        <v>0.43826625815277898</v>
      </c>
      <c r="Y20" s="6">
        <v>0.38586010535890286</v>
      </c>
      <c r="Z20" s="6">
        <v>0.40661930980897587</v>
      </c>
      <c r="AA20" s="6">
        <v>0.4535700680524653</v>
      </c>
      <c r="AB20" s="6">
        <v>0.45479767611891697</v>
      </c>
      <c r="AC20" s="6">
        <v>0.46987841091028526</v>
      </c>
      <c r="AD20" s="6">
        <v>0.42762546864593082</v>
      </c>
      <c r="AE20" s="6">
        <v>0.55184337472086087</v>
      </c>
      <c r="AF20" s="6">
        <v>0.64880990261422467</v>
      </c>
      <c r="AG20" s="6">
        <v>0.63453054554913702</v>
      </c>
      <c r="AH20" s="6">
        <v>0.53623989078679057</v>
      </c>
      <c r="AI20" s="6">
        <v>0.65137856389455584</v>
      </c>
      <c r="AJ20" s="6">
        <v>0.66440456805300807</v>
      </c>
      <c r="AK20" s="6">
        <v>0.63156362674640565</v>
      </c>
      <c r="AL20" s="6">
        <v>0.71504328161058683</v>
      </c>
      <c r="AM20" s="6">
        <v>0.63047342523072714</v>
      </c>
      <c r="AN20" s="6">
        <v>0.69227576064099816</v>
      </c>
      <c r="AO20" s="6">
        <v>0.7351911884826503</v>
      </c>
      <c r="AP20" s="6">
        <v>0.75486219958447953</v>
      </c>
      <c r="AQ20" s="6">
        <v>0.64442570284733414</v>
      </c>
      <c r="AR20" s="6">
        <v>0.69742360594156649</v>
      </c>
      <c r="AS20" s="6">
        <v>0.69028171316406861</v>
      </c>
      <c r="AT20" s="6">
        <v>0.56942168333373777</v>
      </c>
      <c r="AU20" s="6">
        <v>0.53199043548055724</v>
      </c>
      <c r="AV20" s="6">
        <v>0.53500862425304307</v>
      </c>
      <c r="AW20" s="6">
        <v>0.55579816999863174</v>
      </c>
      <c r="AX20" s="6">
        <v>0.43348014439528049</v>
      </c>
      <c r="AY20" s="6">
        <v>0.2803066689716317</v>
      </c>
      <c r="AZ20" s="6">
        <v>0.28680609210172381</v>
      </c>
      <c r="BA20" s="6">
        <v>0.28631695132776058</v>
      </c>
      <c r="BB20" s="6">
        <v>0.21963359673754118</v>
      </c>
      <c r="BC20" s="6">
        <v>0.17611405076932288</v>
      </c>
      <c r="BD20" s="6">
        <v>0.14061806260573162</v>
      </c>
    </row>
    <row r="21" spans="1:66" ht="15.75" x14ac:dyDescent="0.25">
      <c r="A21" s="12">
        <v>1931</v>
      </c>
      <c r="B21" s="2">
        <v>-0.43840000000000001</v>
      </c>
      <c r="C21" s="2">
        <v>2.3099999999999999E-2</v>
      </c>
      <c r="D21" s="2">
        <v>-2.5600000000000001E-2</v>
      </c>
      <c r="E21" s="13">
        <v>-9</v>
      </c>
      <c r="F21" s="6">
        <f t="shared" si="0"/>
        <v>1</v>
      </c>
      <c r="G21" s="6">
        <v>0.67531286592000006</v>
      </c>
      <c r="H21" s="6">
        <v>0.66409939962272102</v>
      </c>
      <c r="I21" s="6">
        <v>0.9232902167625241</v>
      </c>
      <c r="J21" s="6">
        <v>0.8631413955311602</v>
      </c>
      <c r="K21" s="6">
        <v>1.1156813321432872</v>
      </c>
      <c r="L21" s="6">
        <v>1.3431630155866496</v>
      </c>
      <c r="M21" s="6">
        <v>0.90579904923226273</v>
      </c>
      <c r="N21" s="6">
        <v>1.1007713778438617</v>
      </c>
      <c r="O21" s="6">
        <v>1.0774689260812185</v>
      </c>
      <c r="P21" s="6">
        <v>0.95504856770793456</v>
      </c>
      <c r="Q21" s="6">
        <v>0.77850528732648439</v>
      </c>
      <c r="R21" s="6">
        <v>0.76379113202648485</v>
      </c>
      <c r="S21" s="6">
        <v>0.82131614976587497</v>
      </c>
      <c r="T21" s="6">
        <v>0.89097019499946029</v>
      </c>
      <c r="U21" s="6">
        <v>1.07823779082261</v>
      </c>
      <c r="V21" s="6">
        <v>0.8953663916413358</v>
      </c>
      <c r="W21" s="6">
        <v>0.76560785493826555</v>
      </c>
      <c r="X21" s="6">
        <v>0.70157796571333508</v>
      </c>
      <c r="Y21" s="6">
        <v>0.77587933272462628</v>
      </c>
      <c r="Z21" s="6">
        <v>0.90817515867528575</v>
      </c>
      <c r="AA21" s="6">
        <v>0.95255462749600406</v>
      </c>
      <c r="AB21" s="6">
        <v>1.0312959577183276</v>
      </c>
      <c r="AC21" s="6">
        <v>0.98377197839050179</v>
      </c>
      <c r="AD21" s="6">
        <v>1.3399422318495757</v>
      </c>
      <c r="AE21" s="6">
        <v>1.6442989284815266</v>
      </c>
      <c r="AF21" s="6">
        <v>1.6690178540047904</v>
      </c>
      <c r="AG21" s="6">
        <v>1.4664846442158621</v>
      </c>
      <c r="AH21" s="6">
        <v>1.8680310906667048</v>
      </c>
      <c r="AI21" s="6">
        <v>1.982698363887099</v>
      </c>
      <c r="AJ21" s="6">
        <v>1.9611393808852449</v>
      </c>
      <c r="AK21" s="6">
        <v>2.3172719446688679</v>
      </c>
      <c r="AL21" s="6">
        <v>2.1229350048115485</v>
      </c>
      <c r="AM21" s="6">
        <v>2.4367318365307535</v>
      </c>
      <c r="AN21" s="6">
        <v>2.6959865777389402</v>
      </c>
      <c r="AO21" s="6">
        <v>2.878461959419826</v>
      </c>
      <c r="AP21" s="6">
        <v>2.5539756534262543</v>
      </c>
      <c r="AQ21" s="6">
        <v>2.8942377726837987</v>
      </c>
      <c r="AR21" s="6">
        <v>2.9905947372342943</v>
      </c>
      <c r="AS21" s="6">
        <v>2.5781394374398423</v>
      </c>
      <c r="AT21" s="6">
        <v>2.5436150853973394</v>
      </c>
      <c r="AU21" s="6">
        <v>2.7145496990373146</v>
      </c>
      <c r="AV21" s="6">
        <v>2.9941313261979201</v>
      </c>
      <c r="AW21" s="6">
        <v>2.4755449543150325</v>
      </c>
      <c r="AX21" s="6">
        <v>1.7284046643022273</v>
      </c>
      <c r="AY21" s="6">
        <v>2.0022620470542614</v>
      </c>
      <c r="AZ21" s="6">
        <v>2.2619890477222842</v>
      </c>
      <c r="BA21" s="6">
        <v>1.9685022902429565</v>
      </c>
      <c r="BB21" s="6">
        <v>1.8737067536381324</v>
      </c>
      <c r="BC21" s="6">
        <v>1.8714946168033384</v>
      </c>
      <c r="BD21" s="6">
        <v>1.9789830567409277</v>
      </c>
    </row>
    <row r="22" spans="1:66" ht="15.75" x14ac:dyDescent="0.25">
      <c r="A22" s="14">
        <v>1932</v>
      </c>
      <c r="B22" s="1">
        <v>-8.6400000000000005E-2</v>
      </c>
      <c r="C22" s="1">
        <v>1.0699999999999999E-2</v>
      </c>
      <c r="D22" s="1">
        <v>8.7900000000000006E-2</v>
      </c>
      <c r="E22" s="15">
        <v>-9.9</v>
      </c>
      <c r="F22" s="6">
        <f t="shared" si="0"/>
        <v>1</v>
      </c>
      <c r="G22" s="6">
        <v>1.0025394819719999</v>
      </c>
      <c r="H22" s="6">
        <v>1.4225372478057678</v>
      </c>
      <c r="I22" s="6">
        <v>1.350007898999781</v>
      </c>
      <c r="J22" s="6">
        <v>1.774137644444199</v>
      </c>
      <c r="K22" s="6">
        <v>2.1639792466232581</v>
      </c>
      <c r="L22" s="6">
        <v>1.4755428295440209</v>
      </c>
      <c r="M22" s="6">
        <v>1.8236371378129574</v>
      </c>
      <c r="N22" s="6">
        <v>1.8104694664074936</v>
      </c>
      <c r="O22" s="6">
        <v>1.6286481516072058</v>
      </c>
      <c r="P22" s="6">
        <v>1.3504654300111945</v>
      </c>
      <c r="Q22" s="6">
        <v>1.3538964471362016</v>
      </c>
      <c r="R22" s="6">
        <v>1.4892722533757528</v>
      </c>
      <c r="S22" s="6">
        <v>1.6509200186141255</v>
      </c>
      <c r="T22" s="6">
        <v>2.0391140312859948</v>
      </c>
      <c r="U22" s="6">
        <v>1.7225827676512087</v>
      </c>
      <c r="V22" s="6">
        <v>1.5044648159467484</v>
      </c>
      <c r="W22" s="6">
        <v>1.4141984854648872</v>
      </c>
      <c r="X22" s="6">
        <v>1.6093521972569373</v>
      </c>
      <c r="Y22" s="6">
        <v>1.9342840889640245</v>
      </c>
      <c r="Z22" s="6">
        <v>2.0760635002663954</v>
      </c>
      <c r="AA22" s="6">
        <v>2.2984959303611565</v>
      </c>
      <c r="AB22" s="6">
        <v>2.2390744639301818</v>
      </c>
      <c r="AC22" s="6">
        <v>3.1187944531087322</v>
      </c>
      <c r="AD22" s="6">
        <v>3.8912605233185391</v>
      </c>
      <c r="AE22" s="6">
        <v>4.0040041693195434</v>
      </c>
      <c r="AF22" s="6">
        <v>3.56618055290022</v>
      </c>
      <c r="AG22" s="6">
        <v>4.6141904464031285</v>
      </c>
      <c r="AH22" s="6">
        <v>4.9582766505190223</v>
      </c>
      <c r="AI22" s="6">
        <v>4.9621826664941651</v>
      </c>
      <c r="AJ22" s="6">
        <v>5.9337319743537238</v>
      </c>
      <c r="AK22" s="6">
        <v>5.4916349743227242</v>
      </c>
      <c r="AL22" s="6">
        <v>6.3742195481500472</v>
      </c>
      <c r="AM22" s="6">
        <v>7.1217831666605234</v>
      </c>
      <c r="AN22" s="6">
        <v>7.6717313769283884</v>
      </c>
      <c r="AO22" s="6">
        <v>6.8641039329776721</v>
      </c>
      <c r="AP22" s="6">
        <v>7.85276261364137</v>
      </c>
      <c r="AQ22" s="6">
        <v>8.182731352387874</v>
      </c>
      <c r="AR22" s="6">
        <v>7.1121036812057241</v>
      </c>
      <c r="AS22" s="6">
        <v>7.0841406101789444</v>
      </c>
      <c r="AT22" s="6">
        <v>7.634086692570035</v>
      </c>
      <c r="AU22" s="6">
        <v>8.4977991869502567</v>
      </c>
      <c r="AV22" s="6">
        <v>7.0847782887159134</v>
      </c>
      <c r="AW22" s="6">
        <v>4.9969696575059288</v>
      </c>
      <c r="AX22" s="6">
        <v>5.874292323886884</v>
      </c>
      <c r="AY22" s="6">
        <v>6.7213644996234256</v>
      </c>
      <c r="AZ22" s="6">
        <v>5.9159499130792055</v>
      </c>
      <c r="BA22" s="6">
        <v>5.7054171069476816</v>
      </c>
      <c r="BB22" s="6">
        <v>5.7783313991550518</v>
      </c>
      <c r="BC22" s="6">
        <v>6.1962887351962452</v>
      </c>
      <c r="BD22" s="6">
        <v>5.4067009168470461</v>
      </c>
    </row>
    <row r="23" spans="1:66" ht="15.75" x14ac:dyDescent="0.25">
      <c r="A23" s="12">
        <v>1933</v>
      </c>
      <c r="B23" s="2">
        <v>0.49980000000000002</v>
      </c>
      <c r="C23" s="2">
        <v>9.5999999999999992E-3</v>
      </c>
      <c r="D23" s="2">
        <v>1.8599999999999998E-2</v>
      </c>
      <c r="E23" s="13">
        <v>-5.0999999999999996</v>
      </c>
      <c r="F23" s="6">
        <f t="shared" si="0"/>
        <v>1</v>
      </c>
      <c r="G23" s="6">
        <v>1.4187911524079999</v>
      </c>
      <c r="H23" s="6">
        <v>1.3463547007741252</v>
      </c>
      <c r="I23" s="6">
        <v>1.7691969237032319</v>
      </c>
      <c r="J23" s="6">
        <v>2.1578202597604341</v>
      </c>
      <c r="K23" s="6">
        <v>1.4712677624517385</v>
      </c>
      <c r="L23" s="6">
        <v>1.8182131213877308</v>
      </c>
      <c r="M23" s="6">
        <v>1.8049694037532609</v>
      </c>
      <c r="N23" s="6">
        <v>1.6235938034703519</v>
      </c>
      <c r="O23" s="6">
        <v>1.3461737324647105</v>
      </c>
      <c r="P23" s="6">
        <v>1.3494685974592364</v>
      </c>
      <c r="Q23" s="6">
        <v>1.4842602510401253</v>
      </c>
      <c r="R23" s="6">
        <v>1.6452177422664254</v>
      </c>
      <c r="S23" s="6">
        <v>2.0319041054608924</v>
      </c>
      <c r="T23" s="6">
        <v>1.7163757573608251</v>
      </c>
      <c r="U23" s="6">
        <v>1.4989208096950561</v>
      </c>
      <c r="V23" s="6">
        <v>1.4088513441031894</v>
      </c>
      <c r="W23" s="6">
        <v>1.6030982414638215</v>
      </c>
      <c r="X23" s="6">
        <v>1.9265846902648858</v>
      </c>
      <c r="Y23" s="6">
        <v>2.0676332620157214</v>
      </c>
      <c r="Z23" s="6">
        <v>2.2889875072952268</v>
      </c>
      <c r="AA23" s="6">
        <v>2.2296553135467336</v>
      </c>
      <c r="AB23" s="6">
        <v>3.1054468522117515</v>
      </c>
      <c r="AC23" s="6">
        <v>3.8744004681434681</v>
      </c>
      <c r="AD23" s="6">
        <v>3.9864836214829893</v>
      </c>
      <c r="AE23" s="6">
        <v>3.5504255044149091</v>
      </c>
      <c r="AF23" s="6">
        <v>4.5935846655283505</v>
      </c>
      <c r="AG23" s="6">
        <v>4.935949426855907</v>
      </c>
      <c r="AH23" s="6">
        <v>4.9396643664509403</v>
      </c>
      <c r="AI23" s="6">
        <v>5.9065959005645556</v>
      </c>
      <c r="AJ23" s="6">
        <v>5.4663579658127786</v>
      </c>
      <c r="AK23" s="6">
        <v>6.3446746461714811</v>
      </c>
      <c r="AL23" s="6">
        <v>7.0885742436178187</v>
      </c>
      <c r="AM23" s="6">
        <v>7.6357651249755891</v>
      </c>
      <c r="AN23" s="6">
        <v>6.8317629260054815</v>
      </c>
      <c r="AO23" s="6">
        <v>7.815556369174355</v>
      </c>
      <c r="AP23" s="6">
        <v>8.1437722041722846</v>
      </c>
      <c r="AQ23" s="6">
        <v>7.0780831231831316</v>
      </c>
      <c r="AR23" s="6">
        <v>7.0500708196460158</v>
      </c>
      <c r="AS23" s="6">
        <v>7.5971729930491598</v>
      </c>
      <c r="AT23" s="6">
        <v>8.4565024669659188</v>
      </c>
      <c r="AU23" s="6">
        <v>7.0501929497802873</v>
      </c>
      <c r="AV23" s="6">
        <v>4.9724440108480836</v>
      </c>
      <c r="AW23" s="6">
        <v>5.845238581154053</v>
      </c>
      <c r="AX23" s="6">
        <v>6.6879036178984457</v>
      </c>
      <c r="AY23" s="6">
        <v>5.8863302770005781</v>
      </c>
      <c r="AZ23" s="6">
        <v>5.676665904381454</v>
      </c>
      <c r="BA23" s="6">
        <v>5.7490164861357096</v>
      </c>
      <c r="BB23" s="6">
        <v>6.1646442217375919</v>
      </c>
      <c r="BC23" s="6">
        <v>5.3789175530003694</v>
      </c>
      <c r="BD23" s="6">
        <v>6.1566896846726369</v>
      </c>
    </row>
    <row r="24" spans="1:66" ht="15.75" x14ac:dyDescent="0.25">
      <c r="A24" s="14">
        <v>1934</v>
      </c>
      <c r="B24" s="1">
        <v>-1.1900000000000001E-2</v>
      </c>
      <c r="C24" s="1">
        <v>3.2000000000000002E-3</v>
      </c>
      <c r="D24" s="1">
        <v>7.9600000000000004E-2</v>
      </c>
      <c r="E24" s="15">
        <v>3.1</v>
      </c>
      <c r="F24" s="6">
        <f t="shared" si="0"/>
        <v>1</v>
      </c>
      <c r="G24" s="6">
        <v>0.93794889887999988</v>
      </c>
      <c r="H24" s="6">
        <v>1.2168537735344822</v>
      </c>
      <c r="I24" s="6">
        <v>1.4692822135897847</v>
      </c>
      <c r="J24" s="6">
        <v>0.99334072533855389</v>
      </c>
      <c r="K24" s="6">
        <v>1.2118403923979406</v>
      </c>
      <c r="L24" s="6">
        <v>1.1900951593186695</v>
      </c>
      <c r="M24" s="6">
        <v>1.0585477872461904</v>
      </c>
      <c r="N24" s="6">
        <v>0.86638750962861255</v>
      </c>
      <c r="O24" s="6">
        <v>0.85446137740532591</v>
      </c>
      <c r="P24" s="6">
        <v>0.92394824316659574</v>
      </c>
      <c r="Q24" s="6">
        <v>1.0077372113581207</v>
      </c>
      <c r="R24" s="6">
        <v>1.2258773430698473</v>
      </c>
      <c r="S24" s="6">
        <v>1.0224689780335048</v>
      </c>
      <c r="T24" s="6">
        <v>0.87913393280802388</v>
      </c>
      <c r="U24" s="6">
        <v>0.81107278932097748</v>
      </c>
      <c r="V24" s="6">
        <v>0.90394323455492853</v>
      </c>
      <c r="W24" s="6">
        <v>1.0658377760292781</v>
      </c>
      <c r="X24" s="6">
        <v>1.12518283905593</v>
      </c>
      <c r="Y24" s="6">
        <v>1.2260024440380179</v>
      </c>
      <c r="Z24" s="6">
        <v>1.1766504044514339</v>
      </c>
      <c r="AA24" s="6">
        <v>1.6132645749372279</v>
      </c>
      <c r="AB24" s="6">
        <v>1.9895467239921054</v>
      </c>
      <c r="AC24" s="6">
        <v>2.0277907319044961</v>
      </c>
      <c r="AD24" s="6">
        <v>1.7891049263700121</v>
      </c>
      <c r="AE24" s="6">
        <v>2.2899810990100935</v>
      </c>
      <c r="AF24" s="6">
        <v>2.4398988101205092</v>
      </c>
      <c r="AG24" s="6">
        <v>2.4222525485375206</v>
      </c>
      <c r="AH24" s="6">
        <v>2.8729444829399937</v>
      </c>
      <c r="AI24" s="6">
        <v>2.6405389731582578</v>
      </c>
      <c r="AJ24" s="6">
        <v>3.0417305848004874</v>
      </c>
      <c r="AK24" s="6">
        <v>3.3760144514749197</v>
      </c>
      <c r="AL24" s="6">
        <v>3.6149523843054143</v>
      </c>
      <c r="AM24" s="6">
        <v>3.2162309809325857</v>
      </c>
      <c r="AN24" s="6">
        <v>3.6561198512465287</v>
      </c>
      <c r="AO24" s="6">
        <v>3.7883714880654833</v>
      </c>
      <c r="AP24" s="6">
        <v>3.2747873746723917</v>
      </c>
      <c r="AQ24" s="6">
        <v>3.2412711697257754</v>
      </c>
      <c r="AR24" s="6">
        <v>3.4704412575991417</v>
      </c>
      <c r="AS24" s="6">
        <v>3.8397751505130406</v>
      </c>
      <c r="AT24" s="6">
        <v>3.1837580592262515</v>
      </c>
      <c r="AU24" s="6">
        <v>2.2306227978829609</v>
      </c>
      <c r="AV24" s="6">
        <v>2.5972031979392431</v>
      </c>
      <c r="AW24" s="6">
        <v>2.9471763458320885</v>
      </c>
      <c r="AX24" s="6">
        <v>2.575031388385622</v>
      </c>
      <c r="AY24" s="6">
        <v>2.4624527097572222</v>
      </c>
      <c r="AZ24" s="6">
        <v>2.4717838205110776</v>
      </c>
      <c r="BA24" s="6">
        <v>2.6269761029178342</v>
      </c>
      <c r="BB24" s="6">
        <v>2.2729029624337707</v>
      </c>
      <c r="BC24" s="6">
        <v>2.5761281214720007</v>
      </c>
      <c r="BD24" s="6">
        <v>2.9115013953086928</v>
      </c>
    </row>
    <row r="25" spans="1:66" ht="15.75" x14ac:dyDescent="0.25">
      <c r="A25" s="12">
        <v>1935</v>
      </c>
      <c r="B25" s="2">
        <v>0.46739999999999998</v>
      </c>
      <c r="C25" s="2">
        <v>1.8E-3</v>
      </c>
      <c r="D25" s="2">
        <v>4.4699999999999997E-2</v>
      </c>
      <c r="E25" s="13">
        <v>2.2000000000000002</v>
      </c>
      <c r="F25" s="6">
        <f t="shared" si="0"/>
        <v>1</v>
      </c>
      <c r="G25" s="6">
        <v>1.300773983544</v>
      </c>
      <c r="H25" s="6">
        <v>1.5738951836547355</v>
      </c>
      <c r="I25" s="6">
        <v>1.0659545294773605</v>
      </c>
      <c r="J25" s="6">
        <v>1.3039695819159436</v>
      </c>
      <c r="K25" s="6">
        <v>1.2835160258698883</v>
      </c>
      <c r="L25" s="6">
        <v>1.1443980061401622</v>
      </c>
      <c r="M25" s="6">
        <v>0.93928378899367293</v>
      </c>
      <c r="N25" s="6">
        <v>0.92967025770095413</v>
      </c>
      <c r="O25" s="6">
        <v>1.0090792009004526</v>
      </c>
      <c r="P25" s="6">
        <v>1.1045927621411065</v>
      </c>
      <c r="Q25" s="6">
        <v>1.3483409513403262</v>
      </c>
      <c r="R25" s="6">
        <v>1.1278976461185271</v>
      </c>
      <c r="S25" s="6">
        <v>0.97330119975722407</v>
      </c>
      <c r="T25" s="6">
        <v>0.90189622370444478</v>
      </c>
      <c r="U25" s="6">
        <v>1.0101692916556173</v>
      </c>
      <c r="V25" s="6">
        <v>1.1966152859624195</v>
      </c>
      <c r="W25" s="6">
        <v>1.2683739647070416</v>
      </c>
      <c r="X25" s="6">
        <v>1.3875069901128108</v>
      </c>
      <c r="Y25" s="6">
        <v>1.3366386166440396</v>
      </c>
      <c r="Z25" s="6">
        <v>1.8399791635821665</v>
      </c>
      <c r="AA25" s="6">
        <v>2.2759218188911396</v>
      </c>
      <c r="AB25" s="6">
        <v>2.3253845711462002</v>
      </c>
      <c r="AC25" s="6">
        <v>2.0567110200790655</v>
      </c>
      <c r="AD25" s="6">
        <v>2.6399789129086151</v>
      </c>
      <c r="AE25" s="6">
        <v>2.8191360503883098</v>
      </c>
      <c r="AF25" s="6">
        <v>2.8047353011075331</v>
      </c>
      <c r="AG25" s="6">
        <v>3.3338620556209322</v>
      </c>
      <c r="AH25" s="6">
        <v>3.0698795438523976</v>
      </c>
      <c r="AI25" s="6">
        <v>3.5435631126326101</v>
      </c>
      <c r="AJ25" s="6">
        <v>3.9400819108692025</v>
      </c>
      <c r="AK25" s="6">
        <v>4.2258542294770143</v>
      </c>
      <c r="AL25" s="6">
        <v>3.7655565225527492</v>
      </c>
      <c r="AM25" s="6">
        <v>4.2880834883426244</v>
      </c>
      <c r="AN25" s="6">
        <v>4.4501089291102689</v>
      </c>
      <c r="AO25" s="6">
        <v>3.8526407939567848</v>
      </c>
      <c r="AP25" s="6">
        <v>3.8199608238073517</v>
      </c>
      <c r="AQ25" s="6">
        <v>4.0974358963234554</v>
      </c>
      <c r="AR25" s="6">
        <v>4.5412172265757782</v>
      </c>
      <c r="AS25" s="6">
        <v>3.7712045187402108</v>
      </c>
      <c r="AT25" s="6">
        <v>2.6472011729932245</v>
      </c>
      <c r="AU25" s="6">
        <v>3.0906931803794215</v>
      </c>
      <c r="AV25" s="6">
        <v>3.5155234289166319</v>
      </c>
      <c r="AW25" s="6">
        <v>3.0781333061915177</v>
      </c>
      <c r="AX25" s="6">
        <v>2.9508039208219694</v>
      </c>
      <c r="AY25" s="6">
        <v>2.9697098895955656</v>
      </c>
      <c r="AZ25" s="6">
        <v>3.164471410652935</v>
      </c>
      <c r="BA25" s="6">
        <v>2.7448150277021428</v>
      </c>
      <c r="BB25" s="6">
        <v>3.1201404410671656</v>
      </c>
      <c r="BC25" s="6">
        <v>3.5355902393409586</v>
      </c>
      <c r="BD25" s="6">
        <v>3.6035836675600166</v>
      </c>
    </row>
    <row r="26" spans="1:66" ht="15.75" x14ac:dyDescent="0.25">
      <c r="A26" s="14">
        <v>1936</v>
      </c>
      <c r="B26" s="1">
        <v>0.31940000000000002</v>
      </c>
      <c r="C26" s="1">
        <v>1.6999999999999999E-3</v>
      </c>
      <c r="D26" s="1">
        <v>5.0200000000000002E-2</v>
      </c>
      <c r="E26" s="15">
        <v>1.5</v>
      </c>
      <c r="F26" s="6">
        <f t="shared" si="0"/>
        <v>1</v>
      </c>
      <c r="G26" s="6">
        <v>1.1989573738799999</v>
      </c>
      <c r="H26" s="6">
        <v>0.80570323686696721</v>
      </c>
      <c r="I26" s="6">
        <v>0.97377422934393265</v>
      </c>
      <c r="J26" s="6">
        <v>0.94869124200011878</v>
      </c>
      <c r="K26" s="6">
        <v>0.83670677989161379</v>
      </c>
      <c r="L26" s="6">
        <v>0.6780200918737681</v>
      </c>
      <c r="M26" s="6">
        <v>0.66011808997122112</v>
      </c>
      <c r="N26" s="6">
        <v>0.70396584051176891</v>
      </c>
      <c r="O26" s="6">
        <v>0.75745790828357984</v>
      </c>
      <c r="P26" s="6">
        <v>0.90942561384883935</v>
      </c>
      <c r="Q26" s="6">
        <v>0.75003633623770127</v>
      </c>
      <c r="R26" s="6">
        <v>0.63580128172139028</v>
      </c>
      <c r="S26" s="6">
        <v>0.57638075900810459</v>
      </c>
      <c r="T26" s="6">
        <v>0.62945010200245688</v>
      </c>
      <c r="U26" s="6">
        <v>0.72790253350273193</v>
      </c>
      <c r="V26" s="6">
        <v>0.75517022909496634</v>
      </c>
      <c r="W26" s="6">
        <v>0.80866709352685329</v>
      </c>
      <c r="X26" s="6">
        <v>0.76323333207914834</v>
      </c>
      <c r="Y26" s="6">
        <v>1.0274234044087314</v>
      </c>
      <c r="Z26" s="6">
        <v>1.2495399965529321</v>
      </c>
      <c r="AA26" s="6">
        <v>1.2587942409178932</v>
      </c>
      <c r="AB26" s="6">
        <v>1.0975981816293932</v>
      </c>
      <c r="AC26" s="6">
        <v>1.3855702703895953</v>
      </c>
      <c r="AD26" s="6">
        <v>1.4599319272022127</v>
      </c>
      <c r="AE26" s="6">
        <v>1.4338991090352091</v>
      </c>
      <c r="AF26" s="6">
        <v>1.6819117756471977</v>
      </c>
      <c r="AG26" s="6">
        <v>1.5311027256093841</v>
      </c>
      <c r="AH26" s="6">
        <v>1.7449717071665733</v>
      </c>
      <c r="AI26" s="6">
        <v>1.9184375807332164</v>
      </c>
      <c r="AJ26" s="6">
        <v>2.0363532558044763</v>
      </c>
      <c r="AK26" s="6">
        <v>1.7967479197522549</v>
      </c>
      <c r="AL26" s="6">
        <v>2.0230960608470205</v>
      </c>
      <c r="AM26" s="6">
        <v>2.078410786545076</v>
      </c>
      <c r="AN26" s="6">
        <v>1.7815869345470268</v>
      </c>
      <c r="AO26" s="6">
        <v>1.7459098595154869</v>
      </c>
      <c r="AP26" s="6">
        <v>1.8502575929272174</v>
      </c>
      <c r="AQ26" s="6">
        <v>2.027215802856313</v>
      </c>
      <c r="AR26" s="6">
        <v>1.6657687515180521</v>
      </c>
      <c r="AS26" s="6">
        <v>1.1541646645527526</v>
      </c>
      <c r="AT26" s="6">
        <v>1.3220018503558404</v>
      </c>
      <c r="AU26" s="6">
        <v>1.4785407259948375</v>
      </c>
      <c r="AV26" s="6">
        <v>1.2749923472980096</v>
      </c>
      <c r="AW26" s="6">
        <v>1.2005301893355587</v>
      </c>
      <c r="AX26" s="6">
        <v>1.1851194161927665</v>
      </c>
      <c r="AY26" s="6">
        <v>1.238062923050715</v>
      </c>
      <c r="AZ26" s="6">
        <v>1.0534599686865898</v>
      </c>
      <c r="BA26" s="6">
        <v>1.1703746761448255</v>
      </c>
      <c r="BB26" s="6">
        <v>1.2988264409225874</v>
      </c>
      <c r="BC26" s="6">
        <v>1.2989036231367133</v>
      </c>
      <c r="BD26" s="6">
        <v>1.5815423070271519</v>
      </c>
    </row>
    <row r="27" spans="1:66" ht="15.75" x14ac:dyDescent="0.25">
      <c r="A27" s="12">
        <v>1937</v>
      </c>
      <c r="B27" s="2">
        <v>-0.35339999999999999</v>
      </c>
      <c r="C27" s="2">
        <v>3.0000000000000001E-3</v>
      </c>
      <c r="D27" s="2">
        <v>1.38E-2</v>
      </c>
      <c r="E27" s="13">
        <v>3.6</v>
      </c>
      <c r="F27" s="6">
        <f t="shared" si="0"/>
        <v>1</v>
      </c>
      <c r="G27" s="6">
        <v>0.6676032310079999</v>
      </c>
      <c r="H27" s="6">
        <v>0.79855903764433345</v>
      </c>
      <c r="I27" s="6">
        <v>0.77101948425263767</v>
      </c>
      <c r="J27" s="6">
        <v>0.67343320026221365</v>
      </c>
      <c r="K27" s="6">
        <v>0.53938286267464819</v>
      </c>
      <c r="L27" s="6">
        <v>0.51708265844888457</v>
      </c>
      <c r="M27" s="6">
        <v>0.54206018219711105</v>
      </c>
      <c r="N27" s="6">
        <v>0.57325392270206244</v>
      </c>
      <c r="O27" s="6">
        <v>0.67651914075820685</v>
      </c>
      <c r="P27" s="6">
        <v>0.54952763334131027</v>
      </c>
      <c r="Q27" s="6">
        <v>0.45670998810801017</v>
      </c>
      <c r="R27" s="6">
        <v>0.40364890768528872</v>
      </c>
      <c r="S27" s="6">
        <v>0.42742489092912234</v>
      </c>
      <c r="T27" s="6">
        <v>0.4791843303706616</v>
      </c>
      <c r="U27" s="6">
        <v>0.48284328622374667</v>
      </c>
      <c r="V27" s="6">
        <v>0.50151091263673553</v>
      </c>
      <c r="W27" s="6">
        <v>0.45896097914017175</v>
      </c>
      <c r="X27" s="6">
        <v>0.59624800475153095</v>
      </c>
      <c r="Y27" s="6">
        <v>0.70489972116094823</v>
      </c>
      <c r="Z27" s="6">
        <v>0.69281768273742828</v>
      </c>
      <c r="AA27" s="6">
        <v>0.58865358703865989</v>
      </c>
      <c r="AB27" s="6">
        <v>0.7199296153756185</v>
      </c>
      <c r="AC27" s="6">
        <v>0.73868249365362837</v>
      </c>
      <c r="AD27" s="6">
        <v>0.70647722283431624</v>
      </c>
      <c r="AE27" s="6">
        <v>0.8053192290556147</v>
      </c>
      <c r="AF27" s="6">
        <v>0.71456465779224354</v>
      </c>
      <c r="AG27" s="6">
        <v>0.79056536727341598</v>
      </c>
      <c r="AH27" s="6">
        <v>0.8456702141000535</v>
      </c>
      <c r="AI27" s="6">
        <v>0.87451427218392963</v>
      </c>
      <c r="AJ27" s="6">
        <v>0.75201735624658894</v>
      </c>
      <c r="AK27" s="6">
        <v>0.82120086997126407</v>
      </c>
      <c r="AL27" s="6">
        <v>0.81989051523835932</v>
      </c>
      <c r="AM27" s="6">
        <v>0.6826008459480446</v>
      </c>
      <c r="AN27" s="6">
        <v>0.64533338418824993</v>
      </c>
      <c r="AO27" s="6">
        <v>0.65781265345193096</v>
      </c>
      <c r="AP27" s="6">
        <v>0.69318357630034677</v>
      </c>
      <c r="AQ27" s="6">
        <v>0.54853821301563344</v>
      </c>
      <c r="AR27" s="6">
        <v>0.36189828041627076</v>
      </c>
      <c r="AS27" s="6">
        <v>0.38346171636071996</v>
      </c>
      <c r="AT27" s="6">
        <v>0.39763418990610444</v>
      </c>
      <c r="AU27" s="6">
        <v>0.31817182782984449</v>
      </c>
      <c r="AV27" s="6">
        <v>0.2717631882243508</v>
      </c>
      <c r="AW27" s="6">
        <v>0.2381425448742715</v>
      </c>
      <c r="AX27" s="6">
        <v>0.21583159902459459</v>
      </c>
      <c r="AY27" s="6">
        <v>0.15595763078537003</v>
      </c>
      <c r="AZ27" s="6">
        <v>0.1357490231514826</v>
      </c>
      <c r="BA27" s="6">
        <v>0.11190786477113195</v>
      </c>
      <c r="BB27" s="6">
        <v>7.5945902368053986E-2</v>
      </c>
      <c r="BC27" s="6">
        <v>4.7351923494488211E-2</v>
      </c>
      <c r="BD27" s="6">
        <v>1.074204164765424E-2</v>
      </c>
    </row>
    <row r="28" spans="1:66" ht="15.75" x14ac:dyDescent="0.25">
      <c r="A28" s="14">
        <v>1938</v>
      </c>
      <c r="B28" s="1">
        <v>0.2928</v>
      </c>
      <c r="C28" s="1">
        <v>8.0000000000000004E-4</v>
      </c>
      <c r="D28" s="1">
        <v>4.2099999999999999E-2</v>
      </c>
      <c r="E28" s="15">
        <v>-2.1</v>
      </c>
      <c r="F28" s="6">
        <f t="shared" si="0"/>
        <v>1</v>
      </c>
      <c r="G28" s="6">
        <v>1.2202893861479998</v>
      </c>
      <c r="H28" s="6">
        <v>1.1986626103268228</v>
      </c>
      <c r="I28" s="6">
        <v>1.0664209484741489</v>
      </c>
      <c r="J28" s="6">
        <v>0.8730726895588844</v>
      </c>
      <c r="K28" s="6">
        <v>0.86135864159370268</v>
      </c>
      <c r="L28" s="6">
        <v>0.93175544231371654</v>
      </c>
      <c r="M28" s="6">
        <v>1.0166196507620191</v>
      </c>
      <c r="N28" s="6">
        <v>1.2371082489998806</v>
      </c>
      <c r="O28" s="6">
        <v>1.0321376418130044</v>
      </c>
      <c r="P28" s="6">
        <v>0.88776983478519722</v>
      </c>
      <c r="Q28" s="6">
        <v>0.81940203473689233</v>
      </c>
      <c r="R28" s="6">
        <v>0.91368502537315466</v>
      </c>
      <c r="S28" s="6">
        <v>1.0778311341588143</v>
      </c>
      <c r="T28" s="6">
        <v>1.1383146264082291</v>
      </c>
      <c r="U28" s="6">
        <v>1.2408137205458318</v>
      </c>
      <c r="V28" s="6">
        <v>1.1913226208463712</v>
      </c>
      <c r="W28" s="6">
        <v>1.6340561411338872</v>
      </c>
      <c r="X28" s="6">
        <v>2.0158096423964995</v>
      </c>
      <c r="Y28" s="6">
        <v>2.0550825001373823</v>
      </c>
      <c r="Z28" s="6">
        <v>1.8136465751683384</v>
      </c>
      <c r="AA28" s="6">
        <v>2.3220787366603708</v>
      </c>
      <c r="AB28" s="6">
        <v>2.4746779402699803</v>
      </c>
      <c r="AC28" s="6">
        <v>2.4573293184828113</v>
      </c>
      <c r="AD28" s="6">
        <v>2.915214361913717</v>
      </c>
      <c r="AE28" s="6">
        <v>2.6799129849933703</v>
      </c>
      <c r="AF28" s="6">
        <v>3.0877526969390181</v>
      </c>
      <c r="AG28" s="6">
        <v>3.4277440114978281</v>
      </c>
      <c r="AH28" s="6">
        <v>3.670977037281931</v>
      </c>
      <c r="AI28" s="6">
        <v>3.2666085875540913</v>
      </c>
      <c r="AJ28" s="6">
        <v>3.7140760413316003</v>
      </c>
      <c r="AK28" s="6">
        <v>3.8490581774070227</v>
      </c>
      <c r="AL28" s="6">
        <v>3.3277812190069236</v>
      </c>
      <c r="AM28" s="6">
        <v>3.2943417035721971</v>
      </c>
      <c r="AN28" s="6">
        <v>3.5279417502401467</v>
      </c>
      <c r="AO28" s="6">
        <v>3.9041030768487412</v>
      </c>
      <c r="AP28" s="6">
        <v>3.2376316631393447</v>
      </c>
      <c r="AQ28" s="6">
        <v>2.2688264128949887</v>
      </c>
      <c r="AR28" s="6">
        <v>2.6424602310160239</v>
      </c>
      <c r="AS28" s="6">
        <v>2.9992983820506596</v>
      </c>
      <c r="AT28" s="6">
        <v>2.6211699138781706</v>
      </c>
      <c r="AU28" s="6">
        <v>2.5072384758288213</v>
      </c>
      <c r="AV28" s="6">
        <v>2.5174476787051594</v>
      </c>
      <c r="AW28" s="6">
        <v>2.6762687811612698</v>
      </c>
      <c r="AX28" s="6">
        <v>2.3161811255315845</v>
      </c>
      <c r="AY28" s="6">
        <v>2.6260184625491472</v>
      </c>
      <c r="AZ28" s="6">
        <v>2.9687354030134854</v>
      </c>
      <c r="BA28" s="6">
        <v>3.019517066387134</v>
      </c>
      <c r="BB28" s="6">
        <v>3.7400376937300326</v>
      </c>
      <c r="BC28" s="6">
        <v>4.3450204432820216</v>
      </c>
      <c r="BD28" s="6">
        <v>4.30356379793563</v>
      </c>
    </row>
    <row r="29" spans="1:66" ht="15.75" x14ac:dyDescent="0.25">
      <c r="A29" s="12">
        <v>1939</v>
      </c>
      <c r="B29" s="2">
        <v>-1.0999999999999999E-2</v>
      </c>
      <c r="C29" s="2">
        <v>4.0000000000000002E-4</v>
      </c>
      <c r="D29" s="2">
        <v>4.41E-2</v>
      </c>
      <c r="E29" s="13">
        <v>-1.4</v>
      </c>
      <c r="F29" s="6">
        <f t="shared" si="0"/>
        <v>1</v>
      </c>
      <c r="G29" s="6">
        <v>0.97528470530400002</v>
      </c>
      <c r="H29" s="6">
        <v>0.86114515998879804</v>
      </c>
      <c r="I29" s="6">
        <v>0.6987709647980882</v>
      </c>
      <c r="J29" s="6">
        <v>0.68152727479366382</v>
      </c>
      <c r="K29" s="6">
        <v>0.72819947357573112</v>
      </c>
      <c r="L29" s="6">
        <v>0.7850290990743698</v>
      </c>
      <c r="M29" s="6">
        <v>0.94428647088035045</v>
      </c>
      <c r="N29" s="6">
        <v>0.78004797624276367</v>
      </c>
      <c r="O29" s="6">
        <v>0.66260721759512131</v>
      </c>
      <c r="P29" s="6">
        <v>0.60223482950192742</v>
      </c>
      <c r="Q29" s="6">
        <v>0.65968872914979115</v>
      </c>
      <c r="R29" s="6">
        <v>0.76513005064927042</v>
      </c>
      <c r="S29" s="6">
        <v>0.79593144322218223</v>
      </c>
      <c r="T29" s="6">
        <v>0.85464146068919655</v>
      </c>
      <c r="U29" s="6">
        <v>0.80877605510307782</v>
      </c>
      <c r="V29" s="6">
        <v>1.0919606573390304</v>
      </c>
      <c r="W29" s="6">
        <v>1.3310603876442264</v>
      </c>
      <c r="X29" s="6">
        <v>1.3435081933301891</v>
      </c>
      <c r="Y29" s="6">
        <v>1.1737757327019362</v>
      </c>
      <c r="Z29" s="6">
        <v>1.4852016949733737</v>
      </c>
      <c r="AA29" s="6">
        <v>1.5678867343543987</v>
      </c>
      <c r="AB29" s="6">
        <v>1.5427777934270039</v>
      </c>
      <c r="AC29" s="6">
        <v>1.8131179505383752</v>
      </c>
      <c r="AD29" s="6">
        <v>1.6533200966649415</v>
      </c>
      <c r="AE29" s="6">
        <v>1.8878248555719219</v>
      </c>
      <c r="AF29" s="6">
        <v>2.0790067109081249</v>
      </c>
      <c r="AG29" s="6">
        <v>2.2102544023212163</v>
      </c>
      <c r="AH29" s="6">
        <v>1.9531205715189914</v>
      </c>
      <c r="AI29" s="6">
        <v>2.2029927200509709</v>
      </c>
      <c r="AJ29" s="6">
        <v>2.2667829458375679</v>
      </c>
      <c r="AK29" s="6">
        <v>1.9460804172994766</v>
      </c>
      <c r="AL29" s="6">
        <v>1.9106413873665675</v>
      </c>
      <c r="AM29" s="6">
        <v>2.0287397621918721</v>
      </c>
      <c r="AN29" s="6">
        <v>2.226890402313658</v>
      </c>
      <c r="AO29" s="6">
        <v>1.8329930177960194</v>
      </c>
      <c r="AP29" s="6">
        <v>1.2727491108403659</v>
      </c>
      <c r="AQ29" s="6">
        <v>1.4624801848365083</v>
      </c>
      <c r="AR29" s="6">
        <v>1.6403281066502102</v>
      </c>
      <c r="AS29" s="6">
        <v>1.4182068440501685</v>
      </c>
      <c r="AT29" s="6">
        <v>1.3395457057859028</v>
      </c>
      <c r="AU29" s="6">
        <v>1.326860540366394</v>
      </c>
      <c r="AV29" s="6">
        <v>1.3910679450542847</v>
      </c>
      <c r="AW29" s="6">
        <v>1.187795868723363</v>
      </c>
      <c r="AX29" s="6">
        <v>1.3252348502375328</v>
      </c>
      <c r="AY29" s="6">
        <v>1.4764814379786726</v>
      </c>
      <c r="AZ29" s="6">
        <v>1.4819528690145107</v>
      </c>
      <c r="BA29" s="6">
        <v>1.8111760776550629</v>
      </c>
      <c r="BB29" s="6">
        <v>2.0810251394622679</v>
      </c>
      <c r="BC29" s="6">
        <v>2.0412804368048123</v>
      </c>
      <c r="BD29" s="6">
        <v>2.2067152765979565</v>
      </c>
    </row>
    <row r="30" spans="1:66" ht="15.75" x14ac:dyDescent="0.25">
      <c r="A30" s="14">
        <v>1940</v>
      </c>
      <c r="B30" s="1">
        <v>-0.1067</v>
      </c>
      <c r="C30" s="1">
        <v>2.9999999999999997E-4</v>
      </c>
      <c r="D30" s="1">
        <v>5.3999999999999999E-2</v>
      </c>
      <c r="E30" s="15">
        <v>0.7</v>
      </c>
      <c r="F30" s="6">
        <f t="shared" si="0"/>
        <v>1</v>
      </c>
      <c r="G30" s="6">
        <v>0.8838575746559999</v>
      </c>
      <c r="H30" s="6">
        <v>0.71805630321615599</v>
      </c>
      <c r="I30" s="6">
        <v>0.70142443170178914</v>
      </c>
      <c r="J30" s="6">
        <v>0.75072160150944522</v>
      </c>
      <c r="K30" s="6">
        <v>0.81065306906005241</v>
      </c>
      <c r="L30" s="6">
        <v>0.97668527298609809</v>
      </c>
      <c r="M30" s="6">
        <v>0.80794003823406957</v>
      </c>
      <c r="N30" s="6">
        <v>0.68751997894368377</v>
      </c>
      <c r="O30" s="6">
        <v>0.62626295115138297</v>
      </c>
      <c r="P30" s="6">
        <v>0.68779174727153236</v>
      </c>
      <c r="Q30" s="6">
        <v>0.79972836703113137</v>
      </c>
      <c r="R30" s="6">
        <v>0.83381388853624838</v>
      </c>
      <c r="S30" s="6">
        <v>0.89736887907375862</v>
      </c>
      <c r="T30" s="6">
        <v>0.85110231430191097</v>
      </c>
      <c r="U30" s="6">
        <v>1.151939954011151</v>
      </c>
      <c r="V30" s="6">
        <v>1.4068233849842713</v>
      </c>
      <c r="W30" s="6">
        <v>1.4222392060910301</v>
      </c>
      <c r="X30" s="6">
        <v>1.2445732291567408</v>
      </c>
      <c r="Y30" s="6">
        <v>1.5777966304818682</v>
      </c>
      <c r="Z30" s="6">
        <v>1.6682172118904606</v>
      </c>
      <c r="AA30" s="6">
        <v>1.6439668991898193</v>
      </c>
      <c r="AB30" s="6">
        <v>1.9350576633661174</v>
      </c>
      <c r="AC30" s="6">
        <v>1.7669058417065679</v>
      </c>
      <c r="AD30" s="6">
        <v>2.0205889721048127</v>
      </c>
      <c r="AE30" s="6">
        <v>2.2282356144926418</v>
      </c>
      <c r="AF30" s="6">
        <v>2.3718737459554191</v>
      </c>
      <c r="AG30" s="6">
        <v>2.0984493738132706</v>
      </c>
      <c r="AH30" s="6">
        <v>2.3701841421025196</v>
      </c>
      <c r="AI30" s="6">
        <v>2.4418512841068587</v>
      </c>
      <c r="AJ30" s="6">
        <v>2.098956515284236</v>
      </c>
      <c r="AK30" s="6">
        <v>2.0637387184677647</v>
      </c>
      <c r="AL30" s="6">
        <v>2.1946165929359731</v>
      </c>
      <c r="AM30" s="6">
        <v>2.4124629436747482</v>
      </c>
      <c r="AN30" s="6">
        <v>1.9884070371794673</v>
      </c>
      <c r="AO30" s="6">
        <v>1.3829585071446318</v>
      </c>
      <c r="AP30" s="6">
        <v>1.5930372091480538</v>
      </c>
      <c r="AQ30" s="6">
        <v>1.7906892215339547</v>
      </c>
      <c r="AR30" s="6">
        <v>1.5513067886313778</v>
      </c>
      <c r="AS30" s="6">
        <v>1.4687432238799645</v>
      </c>
      <c r="AT30" s="6">
        <v>1.4585911695989671</v>
      </c>
      <c r="AU30" s="6">
        <v>1.5332669571037747</v>
      </c>
      <c r="AV30" s="6">
        <v>1.3126442692390177</v>
      </c>
      <c r="AW30" s="6">
        <v>1.4691579938927868</v>
      </c>
      <c r="AX30" s="6">
        <v>1.6415895157151086</v>
      </c>
      <c r="AY30" s="6">
        <v>1.6520742256822663</v>
      </c>
      <c r="AZ30" s="6">
        <v>2.0245919177947833</v>
      </c>
      <c r="BA30" s="6">
        <v>2.3315213159688435</v>
      </c>
      <c r="BB30" s="6">
        <v>2.2915871981225604</v>
      </c>
      <c r="BC30" s="6">
        <v>2.4824684335289464</v>
      </c>
      <c r="BD30" s="6">
        <v>2.995288274782788</v>
      </c>
    </row>
    <row r="31" spans="1:66" ht="15.75" x14ac:dyDescent="0.25">
      <c r="A31" s="12">
        <v>1941</v>
      </c>
      <c r="B31" s="2">
        <v>-0.12770000000000001</v>
      </c>
      <c r="C31" s="2">
        <v>8.0000000000000004E-4</v>
      </c>
      <c r="D31" s="2">
        <v>-2.0199999999999999E-2</v>
      </c>
      <c r="E31" s="13">
        <v>5</v>
      </c>
      <c r="F31" s="6">
        <f t="shared" si="0"/>
        <v>1</v>
      </c>
      <c r="G31" s="6">
        <v>0.81667399799999996</v>
      </c>
      <c r="H31" s="6">
        <v>0.80317072748851082</v>
      </c>
      <c r="I31" s="6">
        <v>0.86589097475564403</v>
      </c>
      <c r="J31" s="6">
        <v>0.94168405210108519</v>
      </c>
      <c r="K31" s="6">
        <v>1.1423601036871962</v>
      </c>
      <c r="L31" s="6">
        <v>0.95056915869449354</v>
      </c>
      <c r="M31" s="6">
        <v>0.81491411855564411</v>
      </c>
      <c r="N31" s="6">
        <v>0.74913338856279255</v>
      </c>
      <c r="O31" s="6">
        <v>0.83149961505974812</v>
      </c>
      <c r="P31" s="6">
        <v>0.97665065540459417</v>
      </c>
      <c r="Q31" s="6">
        <v>1.0275299306746732</v>
      </c>
      <c r="R31" s="6">
        <v>1.1158602227985146</v>
      </c>
      <c r="S31" s="6">
        <v>1.0675422864987039</v>
      </c>
      <c r="T31" s="6">
        <v>1.4586506709472444</v>
      </c>
      <c r="U31" s="6">
        <v>1.7942457877246758</v>
      </c>
      <c r="V31" s="6">
        <v>1.8248388814587901</v>
      </c>
      <c r="W31" s="6">
        <v>1.6066039981008349</v>
      </c>
      <c r="X31" s="6">
        <v>2.0512909965413919</v>
      </c>
      <c r="Y31" s="6">
        <v>2.1812681211707945</v>
      </c>
      <c r="Z31" s="6">
        <v>2.1614084981517743</v>
      </c>
      <c r="AA31" s="6">
        <v>2.5586097691673633</v>
      </c>
      <c r="AB31" s="6">
        <v>2.3477390162914769</v>
      </c>
      <c r="AC31" s="6">
        <v>2.6994928543525298</v>
      </c>
      <c r="AD31" s="6">
        <v>2.9913339925246296</v>
      </c>
      <c r="AE31" s="6">
        <v>3.1983319991717916</v>
      </c>
      <c r="AF31" s="6">
        <v>2.8416041558175915</v>
      </c>
      <c r="AG31" s="6">
        <v>3.2251358299043384</v>
      </c>
      <c r="AH31" s="6">
        <v>3.3370824475683545</v>
      </c>
      <c r="AI31" s="6">
        <v>2.8807052222025127</v>
      </c>
      <c r="AJ31" s="6">
        <v>2.8466187252097712</v>
      </c>
      <c r="AK31" s="6">
        <v>3.0428459737959557</v>
      </c>
      <c r="AL31" s="6">
        <v>3.3614085026007277</v>
      </c>
      <c r="AM31" s="6">
        <v>2.7831336837353877</v>
      </c>
      <c r="AN31" s="6">
        <v>1.9465263518687472</v>
      </c>
      <c r="AO31" s="6">
        <v>2.2606548830686917</v>
      </c>
      <c r="AP31" s="6">
        <v>2.5595772863174751</v>
      </c>
      <c r="AQ31" s="6">
        <v>2.2319279644650734</v>
      </c>
      <c r="AR31" s="6">
        <v>2.1294089135363805</v>
      </c>
      <c r="AS31" s="6">
        <v>2.1322102010996318</v>
      </c>
      <c r="AT31" s="6">
        <v>2.260417213161638</v>
      </c>
      <c r="AU31" s="6">
        <v>1.9510702687936226</v>
      </c>
      <c r="AV31" s="6">
        <v>2.2051247861595829</v>
      </c>
      <c r="AW31" s="6">
        <v>2.485887793691095</v>
      </c>
      <c r="AX31" s="6">
        <v>2.5220084557373701</v>
      </c>
      <c r="AY31" s="6">
        <v>3.1159172411408553</v>
      </c>
      <c r="AZ31" s="6">
        <v>3.612461009311287</v>
      </c>
      <c r="BA31" s="6">
        <v>3.5715582961064865</v>
      </c>
      <c r="BB31" s="6">
        <v>3.8925624685096403</v>
      </c>
      <c r="BC31" s="6">
        <v>4.7232646587926599</v>
      </c>
      <c r="BD31" s="6">
        <v>4.3788863132112414</v>
      </c>
    </row>
    <row r="32" spans="1:66" ht="15.75" x14ac:dyDescent="0.25">
      <c r="A32" s="14">
        <v>1942</v>
      </c>
      <c r="B32" s="1">
        <v>0.19170000000000001</v>
      </c>
      <c r="C32" s="1">
        <v>3.3999999999999998E-3</v>
      </c>
      <c r="D32" s="1">
        <v>2.29E-2</v>
      </c>
      <c r="E32" s="15">
        <v>10.9</v>
      </c>
      <c r="F32" s="6">
        <f t="shared" si="0"/>
        <v>1</v>
      </c>
      <c r="G32" s="6">
        <v>0.99231266257200001</v>
      </c>
      <c r="H32" s="6">
        <v>1.0799858265603766</v>
      </c>
      <c r="I32" s="6">
        <v>1.1852649460947433</v>
      </c>
      <c r="J32" s="6">
        <v>1.4503424025132998</v>
      </c>
      <c r="K32" s="6">
        <v>1.2157104853103504</v>
      </c>
      <c r="L32" s="6">
        <v>1.0517342789181507</v>
      </c>
      <c r="M32" s="6">
        <v>0.97754418344090677</v>
      </c>
      <c r="N32" s="6">
        <v>1.0986462860025608</v>
      </c>
      <c r="O32" s="6">
        <v>1.3055414884674625</v>
      </c>
      <c r="P32" s="6">
        <v>1.3876396209928354</v>
      </c>
      <c r="Q32" s="6">
        <v>1.5220261203533367</v>
      </c>
      <c r="R32" s="6">
        <v>1.4698947736745633</v>
      </c>
      <c r="S32" s="6">
        <v>2.0288125433139816</v>
      </c>
      <c r="T32" s="6">
        <v>2.514447170806164</v>
      </c>
      <c r="U32" s="6">
        <v>2.5732541537224956</v>
      </c>
      <c r="V32" s="6">
        <v>2.2796034391948456</v>
      </c>
      <c r="W32" s="6">
        <v>2.9314964129170122</v>
      </c>
      <c r="X32" s="6">
        <v>3.1350074295878581</v>
      </c>
      <c r="Y32" s="6">
        <v>3.1233099075702713</v>
      </c>
      <c r="Z32" s="6">
        <v>3.7177659920519286</v>
      </c>
      <c r="AA32" s="6">
        <v>3.4274826055024432</v>
      </c>
      <c r="AB32" s="6">
        <v>3.9615456203145909</v>
      </c>
      <c r="AC32" s="6">
        <v>4.409900661355417</v>
      </c>
      <c r="AD32" s="6">
        <v>4.7346819180595991</v>
      </c>
      <c r="AE32" s="6">
        <v>4.2230965477321627</v>
      </c>
      <c r="AF32" s="6">
        <v>4.8144538034323174</v>
      </c>
      <c r="AG32" s="6">
        <v>5.0012782130740323</v>
      </c>
      <c r="AH32" s="6">
        <v>4.3339420406266642</v>
      </c>
      <c r="AI32" s="6">
        <v>4.3019585807633369</v>
      </c>
      <c r="AJ32" s="6">
        <v>4.6196674713257382</v>
      </c>
      <c r="AK32" s="6">
        <v>5.1254569912098438</v>
      </c>
      <c r="AL32" s="6">
        <v>4.2604959270458256</v>
      </c>
      <c r="AM32" s="6">
        <v>2.9941744443889</v>
      </c>
      <c r="AN32" s="6">
        <v>3.5017270790136008</v>
      </c>
      <c r="AO32" s="6">
        <v>3.988906730807511</v>
      </c>
      <c r="AP32" s="6">
        <v>3.4971731044535979</v>
      </c>
      <c r="AQ32" s="6">
        <v>3.3575576733381083</v>
      </c>
      <c r="AR32" s="6">
        <v>3.3844386595604123</v>
      </c>
      <c r="AS32" s="6">
        <v>3.6121578879822258</v>
      </c>
      <c r="AT32" s="6">
        <v>3.1378764127390313</v>
      </c>
      <c r="AU32" s="6">
        <v>3.573255018028878</v>
      </c>
      <c r="AV32" s="6">
        <v>4.0554015420714604</v>
      </c>
      <c r="AW32" s="6">
        <v>4.1391783231583323</v>
      </c>
      <c r="AX32" s="6">
        <v>5.1446435143407445</v>
      </c>
      <c r="AY32" s="6">
        <v>5.9936721428536845</v>
      </c>
      <c r="AZ32" s="6">
        <v>5.9509688530381455</v>
      </c>
      <c r="BA32" s="6">
        <v>6.5138659013638405</v>
      </c>
      <c r="BB32" s="6">
        <v>7.9354975417989913</v>
      </c>
      <c r="BC32" s="6">
        <v>7.381193352847343</v>
      </c>
      <c r="BD32" s="6">
        <v>8.9468699339181796</v>
      </c>
    </row>
    <row r="33" spans="1:56" ht="15.75" x14ac:dyDescent="0.25">
      <c r="A33" s="12">
        <v>1943</v>
      </c>
      <c r="B33" s="2">
        <v>0.25059999999999999</v>
      </c>
      <c r="C33" s="2">
        <v>3.8E-3</v>
      </c>
      <c r="D33" s="2">
        <v>2.4899999999999999E-2</v>
      </c>
      <c r="E33" s="13">
        <v>6.1</v>
      </c>
      <c r="F33" s="6">
        <f t="shared" si="0"/>
        <v>1</v>
      </c>
      <c r="G33" s="6">
        <v>1.088687330892</v>
      </c>
      <c r="H33" s="6">
        <v>1.1951648581492358</v>
      </c>
      <c r="I33" s="6">
        <v>1.4628597950834996</v>
      </c>
      <c r="J33" s="6">
        <v>1.226486682788207</v>
      </c>
      <c r="K33" s="6">
        <v>1.0613594129829791</v>
      </c>
      <c r="L33" s="6">
        <v>0.98682753380765986</v>
      </c>
      <c r="M33" s="6">
        <v>1.1095039871326549</v>
      </c>
      <c r="N33" s="6">
        <v>1.3189086712110152</v>
      </c>
      <c r="O33" s="6">
        <v>1.4022756386445856</v>
      </c>
      <c r="P33" s="6">
        <v>1.5385340106044962</v>
      </c>
      <c r="Q33" s="6">
        <v>1.4862476746457329</v>
      </c>
      <c r="R33" s="6">
        <v>2.0519857581778798</v>
      </c>
      <c r="S33" s="6">
        <v>2.5437184746310697</v>
      </c>
      <c r="T33" s="6">
        <v>2.603672160874742</v>
      </c>
      <c r="U33" s="6">
        <v>2.3069563040698986</v>
      </c>
      <c r="V33" s="6">
        <v>2.9672707959941724</v>
      </c>
      <c r="W33" s="6">
        <v>3.1737704668747106</v>
      </c>
      <c r="X33" s="6">
        <v>3.1624046789302249</v>
      </c>
      <c r="Y33" s="6">
        <v>3.7648778343472169</v>
      </c>
      <c r="Z33" s="6">
        <v>3.4713668625939236</v>
      </c>
      <c r="AA33" s="6">
        <v>4.0128395095285709</v>
      </c>
      <c r="AB33" s="6">
        <v>4.4675557796801906</v>
      </c>
      <c r="AC33" s="6">
        <v>4.7971241270216503</v>
      </c>
      <c r="AD33" s="6">
        <v>4.279244848034649</v>
      </c>
      <c r="AE33" s="6">
        <v>4.8790488047338565</v>
      </c>
      <c r="AF33" s="6">
        <v>5.0689164890070924</v>
      </c>
      <c r="AG33" s="6">
        <v>4.3930062654961395</v>
      </c>
      <c r="AH33" s="6">
        <v>4.3611082798351903</v>
      </c>
      <c r="AI33" s="6">
        <v>4.6837545755942038</v>
      </c>
      <c r="AJ33" s="6">
        <v>5.1971536034143488</v>
      </c>
      <c r="AK33" s="6">
        <v>4.3205406868855736</v>
      </c>
      <c r="AL33" s="6">
        <v>3.0367542371220519</v>
      </c>
      <c r="AM33" s="6">
        <v>3.5521682502881009</v>
      </c>
      <c r="AN33" s="6">
        <v>4.0469992829997024</v>
      </c>
      <c r="AO33" s="6">
        <v>3.5485967420299747</v>
      </c>
      <c r="AP33" s="6">
        <v>3.4074735945440926</v>
      </c>
      <c r="AQ33" s="6">
        <v>3.4353332572755217</v>
      </c>
      <c r="AR33" s="6">
        <v>3.6670969826780193</v>
      </c>
      <c r="AS33" s="6">
        <v>3.1861120368807856</v>
      </c>
      <c r="AT33" s="6">
        <v>3.6288602371104317</v>
      </c>
      <c r="AU33" s="6">
        <v>4.1191916358777778</v>
      </c>
      <c r="AV33" s="6">
        <v>4.2049053151327493</v>
      </c>
      <c r="AW33" s="6">
        <v>5.227097484182238</v>
      </c>
      <c r="AX33" s="6">
        <v>6.0904522326987518</v>
      </c>
      <c r="AY33" s="6">
        <v>6.0476757616504742</v>
      </c>
      <c r="AZ33" s="6">
        <v>6.6204041155395004</v>
      </c>
      <c r="BA33" s="6">
        <v>8.0660530320877264</v>
      </c>
      <c r="BB33" s="6">
        <v>7.5032167807347294</v>
      </c>
      <c r="BC33" s="6">
        <v>9.0955460508284514</v>
      </c>
      <c r="BD33" s="6">
        <v>9.4765272719376323</v>
      </c>
    </row>
    <row r="34" spans="1:56" ht="15.75" x14ac:dyDescent="0.25">
      <c r="A34" s="14">
        <v>1944</v>
      </c>
      <c r="B34" s="1">
        <v>0.1903</v>
      </c>
      <c r="C34" s="1">
        <v>3.8E-3</v>
      </c>
      <c r="D34" s="1">
        <v>2.58E-2</v>
      </c>
      <c r="E34" s="15">
        <v>1.7</v>
      </c>
      <c r="F34" s="6">
        <f t="shared" si="0"/>
        <v>1</v>
      </c>
      <c r="G34" s="6">
        <v>1.0942631355599997</v>
      </c>
      <c r="H34" s="6">
        <v>1.3352802301634537</v>
      </c>
      <c r="I34" s="6">
        <v>1.1166536981624431</v>
      </c>
      <c r="J34" s="6">
        <v>0.96325827814989051</v>
      </c>
      <c r="K34" s="6">
        <v>0.89220992122192699</v>
      </c>
      <c r="L34" s="6">
        <v>0.99884030230846077</v>
      </c>
      <c r="M34" s="6">
        <v>1.1826678887105768</v>
      </c>
      <c r="N34" s="6">
        <v>1.2531026576343223</v>
      </c>
      <c r="O34" s="6">
        <v>1.3702825601383044</v>
      </c>
      <c r="P34" s="6">
        <v>1.3195759033976779</v>
      </c>
      <c r="Q34" s="6">
        <v>1.8158000946257711</v>
      </c>
      <c r="R34" s="6">
        <v>2.2453799679747775</v>
      </c>
      <c r="S34" s="6">
        <v>2.2936462432201896</v>
      </c>
      <c r="T34" s="6">
        <v>2.0281708796689735</v>
      </c>
      <c r="U34" s="6">
        <v>2.6026517107756573</v>
      </c>
      <c r="V34" s="6">
        <v>2.7786904688398328</v>
      </c>
      <c r="W34" s="6">
        <v>2.763943586272164</v>
      </c>
      <c r="X34" s="6">
        <v>3.2847052817243898</v>
      </c>
      <c r="Y34" s="6">
        <v>3.0240904513787337</v>
      </c>
      <c r="Z34" s="6">
        <v>3.4900427663349216</v>
      </c>
      <c r="AA34" s="6">
        <v>3.8799242206284879</v>
      </c>
      <c r="AB34" s="6">
        <v>4.1607016606534595</v>
      </c>
      <c r="AC34" s="6">
        <v>3.7069710551166648</v>
      </c>
      <c r="AD34" s="6">
        <v>4.2206846833049312</v>
      </c>
      <c r="AE34" s="6">
        <v>4.3795347533870261</v>
      </c>
      <c r="AF34" s="6">
        <v>3.7910128336430002</v>
      </c>
      <c r="AG34" s="6">
        <v>3.7582436792070784</v>
      </c>
      <c r="AH34" s="6">
        <v>4.030567034043278</v>
      </c>
      <c r="AI34" s="6">
        <v>4.4664085588697935</v>
      </c>
      <c r="AJ34" s="6">
        <v>3.7085534624598253</v>
      </c>
      <c r="AK34" s="6">
        <v>2.6027731663186784</v>
      </c>
      <c r="AL34" s="6">
        <v>3.0380625650051343</v>
      </c>
      <c r="AM34" s="6">
        <v>3.4549093176007108</v>
      </c>
      <c r="AN34" s="6">
        <v>3.0244775796878529</v>
      </c>
      <c r="AO34" s="6">
        <v>2.8987213544646435</v>
      </c>
      <c r="AP34" s="6">
        <v>2.916606166400955</v>
      </c>
      <c r="AQ34" s="6">
        <v>3.1071476354731229</v>
      </c>
      <c r="AR34" s="6">
        <v>2.6944856932041805</v>
      </c>
      <c r="AS34" s="6">
        <v>3.0621216277775605</v>
      </c>
      <c r="AT34" s="6">
        <v>3.4690312795273677</v>
      </c>
      <c r="AU34" s="6">
        <v>3.5350037367830507</v>
      </c>
      <c r="AV34" s="6">
        <v>4.3867114741315465</v>
      </c>
      <c r="AW34" s="6">
        <v>5.1040517754061039</v>
      </c>
      <c r="AX34" s="6">
        <v>5.0620211809276121</v>
      </c>
      <c r="AY34" s="6">
        <v>5.5345470621905051</v>
      </c>
      <c r="AZ34" s="6">
        <v>6.7354074878540047</v>
      </c>
      <c r="BA34" s="6">
        <v>6.2595315841077701</v>
      </c>
      <c r="BB34" s="6">
        <v>7.5802117507304985</v>
      </c>
      <c r="BC34" s="6">
        <v>7.8910620881637055</v>
      </c>
      <c r="BD34" s="6">
        <v>8.4413131675954158</v>
      </c>
    </row>
    <row r="35" spans="1:56" ht="15.75" x14ac:dyDescent="0.25">
      <c r="A35" s="12">
        <v>1945</v>
      </c>
      <c r="B35" s="2">
        <v>0.35820000000000002</v>
      </c>
      <c r="C35" s="2">
        <v>3.8E-3</v>
      </c>
      <c r="D35" s="2">
        <v>3.7999999999999999E-2</v>
      </c>
      <c r="E35" s="13">
        <v>2.2999999999999998</v>
      </c>
      <c r="F35" s="6">
        <f t="shared" si="0"/>
        <v>1</v>
      </c>
      <c r="G35" s="6">
        <v>1.2160944569759999</v>
      </c>
      <c r="H35" s="6">
        <v>1.0140469115480568</v>
      </c>
      <c r="I35" s="6">
        <v>0.87161147238616299</v>
      </c>
      <c r="J35" s="6">
        <v>0.80381744770746655</v>
      </c>
      <c r="K35" s="6">
        <v>0.89545746942444704</v>
      </c>
      <c r="L35" s="6">
        <v>1.0553907419970352</v>
      </c>
      <c r="M35" s="6">
        <v>1.1137441554202108</v>
      </c>
      <c r="N35" s="6">
        <v>1.2131008106450292</v>
      </c>
      <c r="O35" s="6">
        <v>1.1638699019140453</v>
      </c>
      <c r="P35" s="6">
        <v>1.5951537007938792</v>
      </c>
      <c r="Q35" s="6">
        <v>1.9666699284029667</v>
      </c>
      <c r="R35" s="6">
        <v>2.004017737848153</v>
      </c>
      <c r="S35" s="6">
        <v>1.7677274741640223</v>
      </c>
      <c r="T35" s="6">
        <v>2.2620218644683296</v>
      </c>
      <c r="U35" s="6">
        <v>2.4096038124760581</v>
      </c>
      <c r="V35" s="6">
        <v>2.3916982863032286</v>
      </c>
      <c r="W35" s="6">
        <v>2.8361245314795447</v>
      </c>
      <c r="X35" s="6">
        <v>2.6062415197524125</v>
      </c>
      <c r="Y35" s="6">
        <v>3.0016421819900261</v>
      </c>
      <c r="Z35" s="6">
        <v>3.3309544717598616</v>
      </c>
      <c r="AA35" s="6">
        <v>3.5661510852890101</v>
      </c>
      <c r="AB35" s="6">
        <v>3.1723486449635012</v>
      </c>
      <c r="AC35" s="6">
        <v>3.6056360514918264</v>
      </c>
      <c r="AD35" s="6">
        <v>3.7355092369755294</v>
      </c>
      <c r="AE35" s="6">
        <v>3.2286261169760291</v>
      </c>
      <c r="AF35" s="6">
        <v>3.1950431102269499</v>
      </c>
      <c r="AG35" s="6">
        <v>3.420354401440648</v>
      </c>
      <c r="AH35" s="6">
        <v>3.7837411333183302</v>
      </c>
      <c r="AI35" s="6">
        <v>3.136830470852678</v>
      </c>
      <c r="AJ35" s="6">
        <v>2.1973448400437374</v>
      </c>
      <c r="AK35" s="6">
        <v>2.5577812312435961</v>
      </c>
      <c r="AL35" s="6">
        <v>2.9017744925459521</v>
      </c>
      <c r="AM35" s="6">
        <v>2.5348415815932128</v>
      </c>
      <c r="AN35" s="6">
        <v>2.4234412488088592</v>
      </c>
      <c r="AO35" s="6">
        <v>2.4320074813536308</v>
      </c>
      <c r="AP35" s="6">
        <v>2.5840388136625898</v>
      </c>
      <c r="AQ35" s="6">
        <v>2.2352047266392101</v>
      </c>
      <c r="AR35" s="6">
        <v>2.5326702270704624</v>
      </c>
      <c r="AS35" s="6">
        <v>2.8616466657295625</v>
      </c>
      <c r="AT35" s="6">
        <v>2.9091767273780422</v>
      </c>
      <c r="AU35" s="6">
        <v>3.60161664764752</v>
      </c>
      <c r="AV35" s="6">
        <v>4.1825491723163362</v>
      </c>
      <c r="AW35" s="6">
        <v>4.141215381246198</v>
      </c>
      <c r="AX35" s="6">
        <v>4.520131371436606</v>
      </c>
      <c r="AY35" s="6">
        <v>5.4923085783434784</v>
      </c>
      <c r="AZ35" s="6">
        <v>5.0976716745315755</v>
      </c>
      <c r="BA35" s="6">
        <v>6.1645752394457176</v>
      </c>
      <c r="BB35" s="6">
        <v>6.4099087866274562</v>
      </c>
      <c r="BC35" s="6">
        <v>6.8491702358698694</v>
      </c>
      <c r="BD35" s="6">
        <v>6.5977966752842825</v>
      </c>
    </row>
    <row r="36" spans="1:56" ht="15.75" x14ac:dyDescent="0.25">
      <c r="A36" s="14">
        <v>1946</v>
      </c>
      <c r="B36" s="1">
        <v>-8.43E-2</v>
      </c>
      <c r="C36" s="1">
        <v>3.8E-3</v>
      </c>
      <c r="D36" s="1">
        <v>3.1300000000000001E-2</v>
      </c>
      <c r="E36" s="15">
        <v>8.3000000000000007</v>
      </c>
      <c r="F36" s="6">
        <f t="shared" si="0"/>
        <v>1</v>
      </c>
      <c r="G36" s="6">
        <v>0.82801163869200001</v>
      </c>
      <c r="H36" s="6">
        <v>0.70544762417292417</v>
      </c>
      <c r="I36" s="6">
        <v>0.64355399466235563</v>
      </c>
      <c r="J36" s="6">
        <v>0.7080151553357118</v>
      </c>
      <c r="K36" s="6">
        <v>0.82462590179031292</v>
      </c>
      <c r="L36" s="6">
        <v>0.86107473812672852</v>
      </c>
      <c r="M36" s="6">
        <v>0.92811625338696224</v>
      </c>
      <c r="N36" s="6">
        <v>0.88156100766716272</v>
      </c>
      <c r="O36" s="6">
        <v>1.1951020722842904</v>
      </c>
      <c r="P36" s="6">
        <v>1.4613437217230407</v>
      </c>
      <c r="Q36" s="6">
        <v>1.4788953770215409</v>
      </c>
      <c r="R36" s="6">
        <v>1.2955203073148753</v>
      </c>
      <c r="S36" s="6">
        <v>1.6444295151547066</v>
      </c>
      <c r="T36" s="6">
        <v>1.7404167236900874</v>
      </c>
      <c r="U36" s="6">
        <v>1.7167842944114273</v>
      </c>
      <c r="V36" s="6">
        <v>2.0228075470640721</v>
      </c>
      <c r="W36" s="6">
        <v>1.8486440686222596</v>
      </c>
      <c r="X36" s="6">
        <v>2.1161282801354968</v>
      </c>
      <c r="Y36" s="6">
        <v>2.335623262292116</v>
      </c>
      <c r="Z36" s="6">
        <v>2.4881777643786478</v>
      </c>
      <c r="AA36" s="6">
        <v>2.2030304426345562</v>
      </c>
      <c r="AB36" s="6">
        <v>2.490497922577334</v>
      </c>
      <c r="AC36" s="6">
        <v>2.5678334269713883</v>
      </c>
      <c r="AD36" s="6">
        <v>2.2089687459781859</v>
      </c>
      <c r="AE36" s="6">
        <v>2.1739101522612412</v>
      </c>
      <c r="AF36" s="6">
        <v>2.31398437122935</v>
      </c>
      <c r="AG36" s="6">
        <v>2.5460040890846343</v>
      </c>
      <c r="AH36" s="6">
        <v>2.1002455991186286</v>
      </c>
      <c r="AI36" s="6">
        <v>1.4622670562945095</v>
      </c>
      <c r="AJ36" s="6">
        <v>1.6869882562156548</v>
      </c>
      <c r="AK36" s="6">
        <v>1.8988916277704024</v>
      </c>
      <c r="AL36" s="6">
        <v>1.647087764216453</v>
      </c>
      <c r="AM36" s="6">
        <v>1.5617159472357536</v>
      </c>
      <c r="AN36" s="6">
        <v>1.5533867626552316</v>
      </c>
      <c r="AO36" s="6">
        <v>1.6355957758285942</v>
      </c>
      <c r="AP36" s="6">
        <v>1.4024872938867821</v>
      </c>
      <c r="AQ36" s="6">
        <v>1.5727275269376366</v>
      </c>
      <c r="AR36" s="6">
        <v>1.7604040863171535</v>
      </c>
      <c r="AS36" s="6">
        <v>1.774496436756535</v>
      </c>
      <c r="AT36" s="6">
        <v>2.178169572828434</v>
      </c>
      <c r="AU36" s="6">
        <v>2.5117826094023075</v>
      </c>
      <c r="AV36" s="6">
        <v>2.4717121851763824</v>
      </c>
      <c r="AW36" s="6">
        <v>2.6809050780716488</v>
      </c>
      <c r="AX36" s="6">
        <v>3.2384591747268092</v>
      </c>
      <c r="AY36" s="6">
        <v>2.9911158371400628</v>
      </c>
      <c r="AZ36" s="6">
        <v>3.5978997462192721</v>
      </c>
      <c r="BA36" s="6">
        <v>3.7244454982340969</v>
      </c>
      <c r="BB36" s="6">
        <v>3.9624728301460701</v>
      </c>
      <c r="BC36" s="6">
        <v>3.8014487415153737</v>
      </c>
      <c r="BD36" s="6">
        <v>4.9182361435109376</v>
      </c>
    </row>
    <row r="37" spans="1:56" ht="15.75" x14ac:dyDescent="0.25">
      <c r="A37" s="12">
        <v>1947</v>
      </c>
      <c r="B37" s="2">
        <v>5.1999999999999998E-2</v>
      </c>
      <c r="C37" s="2">
        <v>5.7000000000000002E-3</v>
      </c>
      <c r="D37" s="2">
        <v>9.1999999999999998E-3</v>
      </c>
      <c r="E37" s="13">
        <v>14.4</v>
      </c>
      <c r="F37" s="6">
        <f t="shared" si="0"/>
        <v>1</v>
      </c>
      <c r="G37" s="6">
        <v>0.85906498675200005</v>
      </c>
      <c r="H37" s="6">
        <v>0.79171648150493001</v>
      </c>
      <c r="I37" s="6">
        <v>0.88130431682093624</v>
      </c>
      <c r="J37" s="6">
        <v>1.037966447942362</v>
      </c>
      <c r="K37" s="6">
        <v>1.0946659187980259</v>
      </c>
      <c r="L37" s="6">
        <v>1.1915825640947442</v>
      </c>
      <c r="M37" s="6">
        <v>1.1425536858769714</v>
      </c>
      <c r="N37" s="6">
        <v>1.5649471181708174</v>
      </c>
      <c r="O37" s="6">
        <v>1.9285144086503214</v>
      </c>
      <c r="P37" s="6">
        <v>1.9643674756091978</v>
      </c>
      <c r="Q37" s="6">
        <v>1.7320726641741946</v>
      </c>
      <c r="R37" s="6">
        <v>2.215389497550055</v>
      </c>
      <c r="S37" s="6">
        <v>2.3590756964851125</v>
      </c>
      <c r="T37" s="6">
        <v>2.3407377506956326</v>
      </c>
      <c r="U37" s="6">
        <v>2.7747136411401843</v>
      </c>
      <c r="V37" s="6">
        <v>2.5490378280993116</v>
      </c>
      <c r="W37" s="6">
        <v>2.9347799398842005</v>
      </c>
      <c r="X37" s="6">
        <v>3.2558002859661195</v>
      </c>
      <c r="Y37" s="6">
        <v>3.4847568654858185</v>
      </c>
      <c r="Z37" s="6">
        <v>3.0991586157770952</v>
      </c>
      <c r="AA37" s="6">
        <v>3.5214356392783479</v>
      </c>
      <c r="AB37" s="6">
        <v>3.6473418772693713</v>
      </c>
      <c r="AC37" s="6">
        <v>3.1516351427385105</v>
      </c>
      <c r="AD37" s="6">
        <v>3.1179407192709734</v>
      </c>
      <c r="AE37" s="6">
        <v>3.3368160395203081</v>
      </c>
      <c r="AF37" s="6">
        <v>3.6902836802601895</v>
      </c>
      <c r="AG37" s="6">
        <v>3.05856135671233</v>
      </c>
      <c r="AH37" s="6">
        <v>2.1418415344031128</v>
      </c>
      <c r="AI37" s="6">
        <v>2.4920305179025259</v>
      </c>
      <c r="AJ37" s="6">
        <v>2.8260501060987457</v>
      </c>
      <c r="AK37" s="6">
        <v>2.4678102108338114</v>
      </c>
      <c r="AL37" s="6">
        <v>2.3583752056650651</v>
      </c>
      <c r="AM37" s="6">
        <v>2.3656657208349374</v>
      </c>
      <c r="AN37" s="6">
        <v>2.5124249994848209</v>
      </c>
      <c r="AO37" s="6">
        <v>2.1723289722576813</v>
      </c>
      <c r="AP37" s="6">
        <v>2.46018811121708</v>
      </c>
      <c r="AQ37" s="6">
        <v>2.7784954607538879</v>
      </c>
      <c r="AR37" s="6">
        <v>2.8235007508119443</v>
      </c>
      <c r="AS37" s="6">
        <v>3.4941368410153979</v>
      </c>
      <c r="AT37" s="6">
        <v>4.0563950846188801</v>
      </c>
      <c r="AU37" s="6">
        <v>4.0151566862236949</v>
      </c>
      <c r="AV37" s="6">
        <v>4.3812574435888116</v>
      </c>
      <c r="AW37" s="6">
        <v>5.3221278232146432</v>
      </c>
      <c r="AX37" s="6">
        <v>4.9386125721119196</v>
      </c>
      <c r="AY37" s="6">
        <v>5.9707740152348006</v>
      </c>
      <c r="AZ37" s="6">
        <v>6.2071382867190792</v>
      </c>
      <c r="BA37" s="6">
        <v>6.6312052096590586</v>
      </c>
      <c r="BB37" s="6">
        <v>6.3866536405242336</v>
      </c>
      <c r="BC37" s="6">
        <v>8.2968722757499709</v>
      </c>
      <c r="BD37" s="6">
        <v>9.4873232088855701</v>
      </c>
    </row>
    <row r="38" spans="1:56" ht="15.75" x14ac:dyDescent="0.25">
      <c r="A38" s="14">
        <v>1948</v>
      </c>
      <c r="B38" s="1">
        <v>5.7000000000000002E-2</v>
      </c>
      <c r="C38" s="1">
        <v>1.0200000000000001E-2</v>
      </c>
      <c r="D38" s="1">
        <v>1.95E-2</v>
      </c>
      <c r="E38" s="15">
        <v>8.1</v>
      </c>
      <c r="F38" s="6">
        <f t="shared" si="0"/>
        <v>1</v>
      </c>
      <c r="G38" s="6">
        <v>0.92764696289999993</v>
      </c>
      <c r="H38" s="6">
        <v>1.0402870636903414</v>
      </c>
      <c r="I38" s="6">
        <v>1.2336940154092049</v>
      </c>
      <c r="J38" s="6">
        <v>1.3089722679620321</v>
      </c>
      <c r="K38" s="6">
        <v>1.4332976109267002</v>
      </c>
      <c r="L38" s="6">
        <v>1.3819993184772315</v>
      </c>
      <c r="M38" s="6">
        <v>1.9042584796381348</v>
      </c>
      <c r="N38" s="6">
        <v>2.3571163963799395</v>
      </c>
      <c r="O38" s="6">
        <v>2.4097599462081241</v>
      </c>
      <c r="P38" s="6">
        <v>2.1325841113469894</v>
      </c>
      <c r="Q38" s="6">
        <v>2.7392121392878614</v>
      </c>
      <c r="R38" s="6">
        <v>2.9266593931650919</v>
      </c>
      <c r="S38" s="6">
        <v>2.9131788286517986</v>
      </c>
      <c r="T38" s="6">
        <v>3.4645438370942343</v>
      </c>
      <c r="U38" s="6">
        <v>3.1916084471587451</v>
      </c>
      <c r="V38" s="6">
        <v>3.6858453180102497</v>
      </c>
      <c r="W38" s="6">
        <v>4.1000092923226994</v>
      </c>
      <c r="X38" s="6">
        <v>4.3990603430300235</v>
      </c>
      <c r="Y38" s="6">
        <v>3.9213041977176579</v>
      </c>
      <c r="Z38" s="6">
        <v>4.467261152239665</v>
      </c>
      <c r="AA38" s="6">
        <v>4.6377282189549165</v>
      </c>
      <c r="AB38" s="6">
        <v>4.0164768434770686</v>
      </c>
      <c r="AC38" s="6">
        <v>3.984033967028338</v>
      </c>
      <c r="AD38" s="6">
        <v>4.2752047235914521</v>
      </c>
      <c r="AE38" s="6">
        <v>4.7400937839763415</v>
      </c>
      <c r="AF38" s="6">
        <v>3.9377604376281394</v>
      </c>
      <c r="AG38" s="6">
        <v>2.7653116712890808</v>
      </c>
      <c r="AH38" s="6">
        <v>3.2306100632819374</v>
      </c>
      <c r="AI38" s="6">
        <v>3.6766641918531238</v>
      </c>
      <c r="AJ38" s="6">
        <v>3.2207754157103499</v>
      </c>
      <c r="AK38" s="6">
        <v>3.089263832157922</v>
      </c>
      <c r="AL38" s="6">
        <v>3.1108845151831268</v>
      </c>
      <c r="AM38" s="6">
        <v>3.3168649155041514</v>
      </c>
      <c r="AN38" s="6">
        <v>2.878614025708031</v>
      </c>
      <c r="AO38" s="6">
        <v>3.2743816834971469</v>
      </c>
      <c r="AP38" s="6">
        <v>3.712535200370263</v>
      </c>
      <c r="AQ38" s="6">
        <v>3.7859013181469301</v>
      </c>
      <c r="AR38" s="6">
        <v>4.7014604225564627</v>
      </c>
      <c r="AS38" s="6">
        <v>5.4734873716031291</v>
      </c>
      <c r="AT38" s="6">
        <v>5.4311774247042175</v>
      </c>
      <c r="AU38" s="6">
        <v>5.9412320398006857</v>
      </c>
      <c r="AV38" s="6">
        <v>7.2337728589631709</v>
      </c>
      <c r="AW38" s="6">
        <v>6.7253277814842098</v>
      </c>
      <c r="AX38" s="6">
        <v>8.1477484205035555</v>
      </c>
      <c r="AY38" s="6">
        <v>8.4848648090431968</v>
      </c>
      <c r="AZ38" s="6">
        <v>9.0796122578429248</v>
      </c>
      <c r="BA38" s="6">
        <v>8.7584290738060933</v>
      </c>
      <c r="BB38" s="6">
        <v>11.396574809779372</v>
      </c>
      <c r="BC38" s="6">
        <v>13.048171588605058</v>
      </c>
      <c r="BD38" s="6">
        <v>16.329236343538817</v>
      </c>
    </row>
    <row r="39" spans="1:56" ht="15.75" x14ac:dyDescent="0.25">
      <c r="A39" s="12">
        <v>1949</v>
      </c>
      <c r="B39" s="2">
        <v>0.183</v>
      </c>
      <c r="C39" s="2">
        <v>1.0999999999999999E-2</v>
      </c>
      <c r="D39" s="2">
        <v>4.6600000000000003E-2</v>
      </c>
      <c r="E39" s="13">
        <v>-1.2</v>
      </c>
      <c r="F39" s="6">
        <f t="shared" si="0"/>
        <v>1</v>
      </c>
      <c r="G39" s="6">
        <v>1.124910353952</v>
      </c>
      <c r="H39" s="6">
        <v>1.3378758280908074</v>
      </c>
      <c r="I39" s="6">
        <v>1.4230431891615452</v>
      </c>
      <c r="J39" s="6">
        <v>1.5619576257487695</v>
      </c>
      <c r="K39" s="6">
        <v>1.5094513701521395</v>
      </c>
      <c r="L39" s="6">
        <v>2.0848670324272867</v>
      </c>
      <c r="M39" s="6">
        <v>2.5852525377447679</v>
      </c>
      <c r="N39" s="6">
        <v>2.6468333209109196</v>
      </c>
      <c r="O39" s="6">
        <v>2.3457682279546934</v>
      </c>
      <c r="P39" s="6">
        <v>3.0180323026721294</v>
      </c>
      <c r="Q39" s="6">
        <v>3.2287726781455661</v>
      </c>
      <c r="R39" s="6">
        <v>3.2178775991251363</v>
      </c>
      <c r="S39" s="6">
        <v>3.8317264531514903</v>
      </c>
      <c r="T39" s="6">
        <v>3.533635749372535</v>
      </c>
      <c r="U39" s="6">
        <v>4.0856221790230514</v>
      </c>
      <c r="V39" s="6">
        <v>4.5493646166781367</v>
      </c>
      <c r="W39" s="6">
        <v>4.8857255321214144</v>
      </c>
      <c r="X39" s="6">
        <v>4.3589156089423424</v>
      </c>
      <c r="Y39" s="6">
        <v>4.9707048811743242</v>
      </c>
      <c r="Z39" s="6">
        <v>5.1648907728418711</v>
      </c>
      <c r="AA39" s="6">
        <v>4.4768145323968858</v>
      </c>
      <c r="AB39" s="6">
        <v>4.4450378290312988</v>
      </c>
      <c r="AC39" s="6">
        <v>4.7746899794075421</v>
      </c>
      <c r="AD39" s="6">
        <v>5.2988864006328571</v>
      </c>
      <c r="AE39" s="6">
        <v>4.4057402686926954</v>
      </c>
      <c r="AF39" s="6">
        <v>3.0971721744071798</v>
      </c>
      <c r="AG39" s="6">
        <v>3.6237409688720117</v>
      </c>
      <c r="AH39" s="6">
        <v>4.1294288100074317</v>
      </c>
      <c r="AI39" s="6">
        <v>3.6215635159533184</v>
      </c>
      <c r="AJ39" s="6">
        <v>3.4783010176800548</v>
      </c>
      <c r="AK39" s="6">
        <v>3.5075493582831991</v>
      </c>
      <c r="AL39" s="6">
        <v>3.745051960022185</v>
      </c>
      <c r="AM39" s="6">
        <v>3.2545552285273343</v>
      </c>
      <c r="AN39" s="6">
        <v>3.7077604013326808</v>
      </c>
      <c r="AO39" s="6">
        <v>4.2097056012969105</v>
      </c>
      <c r="AP39" s="6">
        <v>4.2981676122025618</v>
      </c>
      <c r="AQ39" s="6">
        <v>5.3440942673749889</v>
      </c>
      <c r="AR39" s="6">
        <v>6.2277768419412789</v>
      </c>
      <c r="AS39" s="6">
        <v>6.1848965315164772</v>
      </c>
      <c r="AT39" s="6">
        <v>6.7715748641355287</v>
      </c>
      <c r="AU39" s="6">
        <v>8.251302722567134</v>
      </c>
      <c r="AV39" s="6">
        <v>7.6763600334419273</v>
      </c>
      <c r="AW39" s="6">
        <v>9.3065077237416034</v>
      </c>
      <c r="AX39" s="6">
        <v>9.6972524198425436</v>
      </c>
      <c r="AY39" s="6">
        <v>10.382849649302477</v>
      </c>
      <c r="AZ39" s="6">
        <v>10.020877011574806</v>
      </c>
      <c r="BA39" s="6">
        <v>13.046483573007896</v>
      </c>
      <c r="BB39" s="6">
        <v>14.943538928447852</v>
      </c>
      <c r="BC39" s="6">
        <v>18.708173225862623</v>
      </c>
      <c r="BD39" s="6">
        <v>23.084582491782896</v>
      </c>
    </row>
    <row r="40" spans="1:56" ht="15.75" x14ac:dyDescent="0.25">
      <c r="A40" s="14">
        <v>1950</v>
      </c>
      <c r="B40" s="1">
        <v>0.30809999999999998</v>
      </c>
      <c r="C40" s="1">
        <v>1.17E-2</v>
      </c>
      <c r="D40" s="1">
        <v>4.3E-3</v>
      </c>
      <c r="E40" s="15">
        <v>1.3</v>
      </c>
      <c r="F40" s="6">
        <f t="shared" si="0"/>
        <v>1</v>
      </c>
      <c r="G40" s="6">
        <v>1.1840956210440001</v>
      </c>
      <c r="H40" s="6">
        <v>1.2546659126623154</v>
      </c>
      <c r="I40" s="6">
        <v>1.3720457475743075</v>
      </c>
      <c r="J40" s="6">
        <v>1.3213225366194821</v>
      </c>
      <c r="K40" s="6">
        <v>1.8182751971784403</v>
      </c>
      <c r="L40" s="6">
        <v>2.2485063999024359</v>
      </c>
      <c r="M40" s="6">
        <v>2.2968951531186139</v>
      </c>
      <c r="N40" s="6">
        <v>2.0310924054940553</v>
      </c>
      <c r="O40" s="6">
        <v>2.6064727285927569</v>
      </c>
      <c r="P40" s="6">
        <v>2.7828307011339439</v>
      </c>
      <c r="Q40" s="6">
        <v>2.7681192506742489</v>
      </c>
      <c r="R40" s="6">
        <v>3.2897372396038156</v>
      </c>
      <c r="S40" s="6">
        <v>3.0287776748557977</v>
      </c>
      <c r="T40" s="6">
        <v>3.495521403497504</v>
      </c>
      <c r="U40" s="6">
        <v>3.8860822928415248</v>
      </c>
      <c r="V40" s="6">
        <v>4.1673710361244067</v>
      </c>
      <c r="W40" s="6">
        <v>3.7129681859516803</v>
      </c>
      <c r="X40" s="6">
        <v>4.2275839958755057</v>
      </c>
      <c r="Y40" s="6">
        <v>4.3867591143746285</v>
      </c>
      <c r="Z40" s="6">
        <v>3.7973214107914237</v>
      </c>
      <c r="AA40" s="6">
        <v>3.7645613857498361</v>
      </c>
      <c r="AB40" s="6">
        <v>4.0374120987569881</v>
      </c>
      <c r="AC40" s="6">
        <v>4.4740663857586132</v>
      </c>
      <c r="AD40" s="6">
        <v>3.7149667693413551</v>
      </c>
      <c r="AE40" s="6">
        <v>2.6073210615634665</v>
      </c>
      <c r="AF40" s="6">
        <v>3.0434501244143242</v>
      </c>
      <c r="AG40" s="6">
        <v>3.461114111586634</v>
      </c>
      <c r="AH40" s="6">
        <v>3.0299700751133005</v>
      </c>
      <c r="AI40" s="6">
        <v>2.9040528125606144</v>
      </c>
      <c r="AJ40" s="6">
        <v>2.9220421557300846</v>
      </c>
      <c r="AK40" s="6">
        <v>3.1130156125458588</v>
      </c>
      <c r="AL40" s="6">
        <v>2.6996376808392184</v>
      </c>
      <c r="AM40" s="6">
        <v>3.0680607527759198</v>
      </c>
      <c r="AN40" s="6">
        <v>3.4758446209192448</v>
      </c>
      <c r="AO40" s="6">
        <v>3.5420239558838813</v>
      </c>
      <c r="AP40" s="6">
        <v>4.3955182811469333</v>
      </c>
      <c r="AQ40" s="6">
        <v>5.1143887376631749</v>
      </c>
      <c r="AR40" s="6">
        <v>5.0723503267873049</v>
      </c>
      <c r="AS40" s="6">
        <v>5.5459262776947771</v>
      </c>
      <c r="AT40" s="6">
        <v>6.7493519590539064</v>
      </c>
      <c r="AU40" s="6">
        <v>6.2725647562258162</v>
      </c>
      <c r="AV40" s="6">
        <v>7.5960916637527953</v>
      </c>
      <c r="AW40" s="6">
        <v>7.9076769362646058</v>
      </c>
      <c r="AX40" s="6">
        <v>8.459173042692818</v>
      </c>
      <c r="AY40" s="6">
        <v>8.1574087126577144</v>
      </c>
      <c r="AZ40" s="6">
        <v>10.611093895223705</v>
      </c>
      <c r="BA40" s="6">
        <v>12.145833892910028</v>
      </c>
      <c r="BB40" s="6">
        <v>15.196683102024153</v>
      </c>
      <c r="BC40" s="6">
        <v>18.742782830252597</v>
      </c>
      <c r="BD40" s="6">
        <v>21.048386020030051</v>
      </c>
    </row>
    <row r="41" spans="1:56" ht="15.75" x14ac:dyDescent="0.25">
      <c r="A41" s="12">
        <v>1951</v>
      </c>
      <c r="B41" s="2">
        <v>0.23680000000000001</v>
      </c>
      <c r="C41" s="2">
        <v>1.4800000000000001E-2</v>
      </c>
      <c r="D41" s="2">
        <v>-3.0000000000000001E-3</v>
      </c>
      <c r="E41" s="13">
        <v>7.9</v>
      </c>
      <c r="F41" s="6">
        <f t="shared" si="0"/>
        <v>1</v>
      </c>
      <c r="G41" s="6">
        <v>1.0530956333520001</v>
      </c>
      <c r="H41" s="6">
        <v>1.144695649485816</v>
      </c>
      <c r="I41" s="6">
        <v>1.0961069831319237</v>
      </c>
      <c r="J41" s="6">
        <v>1.4991288621728054</v>
      </c>
      <c r="K41" s="6">
        <v>1.8453759153571572</v>
      </c>
      <c r="L41" s="6">
        <v>1.8779720318412738</v>
      </c>
      <c r="M41" s="6">
        <v>1.6543830611907926</v>
      </c>
      <c r="N41" s="6">
        <v>2.1137804839810381</v>
      </c>
      <c r="O41" s="6">
        <v>2.2489780891228563</v>
      </c>
      <c r="P41" s="6">
        <v>2.2296979280095703</v>
      </c>
      <c r="Q41" s="6">
        <v>2.640903148511466</v>
      </c>
      <c r="R41" s="6">
        <v>2.4243945585100941</v>
      </c>
      <c r="S41" s="6">
        <v>2.7890912923983842</v>
      </c>
      <c r="T41" s="6">
        <v>3.0920440113282099</v>
      </c>
      <c r="U41" s="6">
        <v>3.3074039466662293</v>
      </c>
      <c r="V41" s="6">
        <v>2.9396821156510864</v>
      </c>
      <c r="W41" s="6">
        <v>3.3379682025490425</v>
      </c>
      <c r="X41" s="6">
        <v>3.4552307098386481</v>
      </c>
      <c r="Y41" s="6">
        <v>2.9838766208581586</v>
      </c>
      <c r="Z41" s="6">
        <v>2.949939427323268</v>
      </c>
      <c r="AA41" s="6">
        <v>3.1547911690097998</v>
      </c>
      <c r="AB41" s="6">
        <v>3.4866457299808697</v>
      </c>
      <c r="AC41" s="6">
        <v>2.8880178478516401</v>
      </c>
      <c r="AD41" s="6">
        <v>2.0209032996819944</v>
      </c>
      <c r="AE41" s="6">
        <v>2.348763822138316</v>
      </c>
      <c r="AF41" s="6">
        <v>2.6610513998674197</v>
      </c>
      <c r="AG41" s="6">
        <v>2.3217530425802999</v>
      </c>
      <c r="AH41" s="6">
        <v>2.2166003634773062</v>
      </c>
      <c r="AI41" s="6">
        <v>2.221111170203824</v>
      </c>
      <c r="AJ41" s="6">
        <v>2.356382973368699</v>
      </c>
      <c r="AK41" s="6">
        <v>2.0353266324169548</v>
      </c>
      <c r="AL41" s="6">
        <v>2.3022541100079059</v>
      </c>
      <c r="AM41" s="6">
        <v>2.5973141810332878</v>
      </c>
      <c r="AN41" s="6">
        <v>2.6368181515627938</v>
      </c>
      <c r="AO41" s="6">
        <v>3.2599450585219563</v>
      </c>
      <c r="AP41" s="6">
        <v>3.781513210595564</v>
      </c>
      <c r="AQ41" s="6">
        <v>3.7404826668782403</v>
      </c>
      <c r="AR41" s="6">
        <v>4.0786598327105228</v>
      </c>
      <c r="AS41" s="6">
        <v>4.9513145919802808</v>
      </c>
      <c r="AT41" s="6">
        <v>4.5920327271651855</v>
      </c>
      <c r="AU41" s="6">
        <v>5.5484932578576238</v>
      </c>
      <c r="AV41" s="6">
        <v>5.7653140380658803</v>
      </c>
      <c r="AW41" s="6">
        <v>6.1562730376627313</v>
      </c>
      <c r="AX41" s="6">
        <v>5.9265861616090625</v>
      </c>
      <c r="AY41" s="6">
        <v>7.6956044195243942</v>
      </c>
      <c r="AZ41" s="6">
        <v>8.7966041324214572</v>
      </c>
      <c r="BA41" s="6">
        <v>10.992956448559896</v>
      </c>
      <c r="BB41" s="6">
        <v>13.545063822794384</v>
      </c>
      <c r="BC41" s="6">
        <v>15.199359763444436</v>
      </c>
      <c r="BD41" s="6">
        <v>14.075670452985838</v>
      </c>
    </row>
    <row r="42" spans="1:56" ht="15.75" x14ac:dyDescent="0.25">
      <c r="A42" s="14">
        <v>1952</v>
      </c>
      <c r="B42" s="1">
        <v>0.18149999999999999</v>
      </c>
      <c r="C42" s="1">
        <v>1.67E-2</v>
      </c>
      <c r="D42" s="1">
        <v>2.2700000000000001E-2</v>
      </c>
      <c r="E42" s="15">
        <v>1.9</v>
      </c>
      <c r="F42" s="6">
        <f t="shared" si="0"/>
        <v>1</v>
      </c>
      <c r="G42" s="6">
        <v>1.084809353292</v>
      </c>
      <c r="H42" s="6">
        <v>1.0367829473958121</v>
      </c>
      <c r="I42" s="6">
        <v>1.4150625164442929</v>
      </c>
      <c r="J42" s="6">
        <v>1.7391873022656494</v>
      </c>
      <c r="K42" s="6">
        <v>1.7676234798319064</v>
      </c>
      <c r="L42" s="6">
        <v>1.5551540414472318</v>
      </c>
      <c r="M42" s="6">
        <v>1.9840004049694646</v>
      </c>
      <c r="N42" s="6">
        <v>2.1083559564933188</v>
      </c>
      <c r="O42" s="6">
        <v>2.0878723511689889</v>
      </c>
      <c r="P42" s="6">
        <v>2.4699937410095711</v>
      </c>
      <c r="Q42" s="6">
        <v>2.2651939836067463</v>
      </c>
      <c r="R42" s="6">
        <v>2.6030105155295491</v>
      </c>
      <c r="S42" s="6">
        <v>2.8828863636485216</v>
      </c>
      <c r="T42" s="6">
        <v>3.0808799896975319</v>
      </c>
      <c r="U42" s="6">
        <v>2.7359908085527764</v>
      </c>
      <c r="V42" s="6">
        <v>3.1036344796002666</v>
      </c>
      <c r="W42" s="6">
        <v>3.2098567847071915</v>
      </c>
      <c r="X42" s="6">
        <v>2.7696071042103179</v>
      </c>
      <c r="Y42" s="6">
        <v>2.7353598326871054</v>
      </c>
      <c r="Z42" s="6">
        <v>2.9222999632873892</v>
      </c>
      <c r="AA42" s="6">
        <v>3.2265492252642454</v>
      </c>
      <c r="AB42" s="6">
        <v>2.6701912075032634</v>
      </c>
      <c r="AC42" s="6">
        <v>1.8664349793398609</v>
      </c>
      <c r="AD42" s="6">
        <v>2.1657764823057426</v>
      </c>
      <c r="AE42" s="6">
        <v>2.4503068568455149</v>
      </c>
      <c r="AF42" s="6">
        <v>2.1352015726826781</v>
      </c>
      <c r="AG42" s="6">
        <v>2.0355184931323773</v>
      </c>
      <c r="AH42" s="6">
        <v>2.0364789181679774</v>
      </c>
      <c r="AI42" s="6">
        <v>2.157078347064842</v>
      </c>
      <c r="AJ42" s="6">
        <v>1.8603404391180394</v>
      </c>
      <c r="AK42" s="6">
        <v>2.1005329591415158</v>
      </c>
      <c r="AL42" s="6">
        <v>2.3659004513685842</v>
      </c>
      <c r="AM42" s="6">
        <v>2.3983778633477688</v>
      </c>
      <c r="AN42" s="6">
        <v>2.9608236817041824</v>
      </c>
      <c r="AO42" s="6">
        <v>3.4304204278143975</v>
      </c>
      <c r="AP42" s="6">
        <v>3.3896553664157016</v>
      </c>
      <c r="AQ42" s="6">
        <v>3.6921671341880296</v>
      </c>
      <c r="AR42" s="6">
        <v>4.4776935148949786</v>
      </c>
      <c r="AS42" s="6">
        <v>4.1493637347095609</v>
      </c>
      <c r="AT42" s="6">
        <v>5.0091353000101826</v>
      </c>
      <c r="AU42" s="6">
        <v>5.2009941624428926</v>
      </c>
      <c r="AV42" s="6">
        <v>5.5496660778878857</v>
      </c>
      <c r="AW42" s="6">
        <v>5.3389651261611482</v>
      </c>
      <c r="AX42" s="6">
        <v>6.9276352488063591</v>
      </c>
      <c r="AY42" s="6">
        <v>7.9143834202065291</v>
      </c>
      <c r="AZ42" s="6">
        <v>9.8856526839966907</v>
      </c>
      <c r="BA42" s="6">
        <v>12.175932502289237</v>
      </c>
      <c r="BB42" s="6">
        <v>13.658667580804794</v>
      </c>
      <c r="BC42" s="6">
        <v>12.645286777152835</v>
      </c>
      <c r="BD42" s="6">
        <v>11.228911316249693</v>
      </c>
    </row>
    <row r="43" spans="1:56" ht="15.75" x14ac:dyDescent="0.25">
      <c r="A43" s="12">
        <v>1953</v>
      </c>
      <c r="B43" s="2">
        <v>-1.21E-2</v>
      </c>
      <c r="C43" s="2">
        <v>1.89E-2</v>
      </c>
      <c r="D43" s="2">
        <v>4.1399999999999999E-2</v>
      </c>
      <c r="E43" s="13">
        <v>0.8</v>
      </c>
      <c r="F43" s="6">
        <f t="shared" si="0"/>
        <v>1</v>
      </c>
      <c r="G43" s="6">
        <v>0.95276985215999999</v>
      </c>
      <c r="H43" s="6">
        <v>1.2960100308508855</v>
      </c>
      <c r="I43" s="6">
        <v>1.5888058598381727</v>
      </c>
      <c r="J43" s="6">
        <v>1.6113508443973332</v>
      </c>
      <c r="K43" s="6">
        <v>1.414628586925643</v>
      </c>
      <c r="L43" s="6">
        <v>1.8002093664398053</v>
      </c>
      <c r="M43" s="6">
        <v>1.9092106948084842</v>
      </c>
      <c r="N43" s="6">
        <v>1.8870228043346553</v>
      </c>
      <c r="O43" s="6">
        <v>2.2279564596448331</v>
      </c>
      <c r="P43" s="6">
        <v>2.0397384343510256</v>
      </c>
      <c r="Q43" s="6">
        <v>2.3394879511144127</v>
      </c>
      <c r="R43" s="6">
        <v>2.5866829588097704</v>
      </c>
      <c r="S43" s="6">
        <v>2.7600828872438359</v>
      </c>
      <c r="T43" s="6">
        <v>2.4475286874307569</v>
      </c>
      <c r="U43" s="6">
        <v>2.7717773977484681</v>
      </c>
      <c r="V43" s="6">
        <v>2.8623648670609754</v>
      </c>
      <c r="W43" s="6">
        <v>2.466164408768265</v>
      </c>
      <c r="X43" s="6">
        <v>2.4314780131827698</v>
      </c>
      <c r="Y43" s="6">
        <v>2.5930522045082958</v>
      </c>
      <c r="Z43" s="6">
        <v>2.8582075885209091</v>
      </c>
      <c r="AA43" s="6">
        <v>2.3617110096642375</v>
      </c>
      <c r="AB43" s="6">
        <v>1.6476811210294415</v>
      </c>
      <c r="AC43" s="6">
        <v>1.906634759772122</v>
      </c>
      <c r="AD43" s="6">
        <v>2.1518561337341473</v>
      </c>
      <c r="AE43" s="6">
        <v>1.8710124255281217</v>
      </c>
      <c r="AF43" s="6">
        <v>1.7790752449616016</v>
      </c>
      <c r="AG43" s="6">
        <v>1.7750077154519412</v>
      </c>
      <c r="AH43" s="6">
        <v>1.8748285246642478</v>
      </c>
      <c r="AI43" s="6">
        <v>1.612529723947405</v>
      </c>
      <c r="AJ43" s="6">
        <v>1.8148609200003951</v>
      </c>
      <c r="AK43" s="6">
        <v>2.0381785850465204</v>
      </c>
      <c r="AL43" s="6">
        <v>2.0607051748110106</v>
      </c>
      <c r="AM43" s="6">
        <v>2.5372160763577725</v>
      </c>
      <c r="AN43" s="6">
        <v>2.9332123226947777</v>
      </c>
      <c r="AO43" s="6">
        <v>2.8928232301768491</v>
      </c>
      <c r="AP43" s="6">
        <v>3.1448266256401407</v>
      </c>
      <c r="AQ43" s="6">
        <v>3.8069641526537898</v>
      </c>
      <c r="AR43" s="6">
        <v>3.5224678777495591</v>
      </c>
      <c r="AS43" s="6">
        <v>4.2453111448162453</v>
      </c>
      <c r="AT43" s="6">
        <v>4.4018196142872572</v>
      </c>
      <c r="AU43" s="6">
        <v>4.6906057046360266</v>
      </c>
      <c r="AV43" s="6">
        <v>4.5067921055451343</v>
      </c>
      <c r="AW43" s="6">
        <v>5.8400580757916769</v>
      </c>
      <c r="AX43" s="6">
        <v>6.6650063035852796</v>
      </c>
      <c r="AY43" s="6">
        <v>8.3175190350818671</v>
      </c>
      <c r="AZ43" s="6">
        <v>10.23700574869491</v>
      </c>
      <c r="BA43" s="6">
        <v>11.476780973410944</v>
      </c>
      <c r="BB43" s="6">
        <v>10.619616094260314</v>
      </c>
      <c r="BC43" s="6">
        <v>9.4246819287476882</v>
      </c>
      <c r="BD43" s="6">
        <v>7.892232101220702</v>
      </c>
    </row>
    <row r="44" spans="1:56" ht="15.75" x14ac:dyDescent="0.25">
      <c r="A44" s="14">
        <v>1954</v>
      </c>
      <c r="B44" s="1">
        <v>0.52559999999999996</v>
      </c>
      <c r="C44" s="1">
        <v>9.5999999999999992E-3</v>
      </c>
      <c r="D44" s="1">
        <v>3.2899999999999999E-2</v>
      </c>
      <c r="E44" s="15">
        <v>0.7</v>
      </c>
      <c r="F44" s="6">
        <f t="shared" si="0"/>
        <v>1</v>
      </c>
      <c r="G44" s="6">
        <v>1.3629384838439997</v>
      </c>
      <c r="H44" s="6">
        <v>1.6733467012189884</v>
      </c>
      <c r="I44" s="6">
        <v>1.6992035732392423</v>
      </c>
      <c r="J44" s="6">
        <v>1.4936286282133573</v>
      </c>
      <c r="K44" s="6">
        <v>1.9035322817193598</v>
      </c>
      <c r="L44" s="6">
        <v>2.0211653862123651</v>
      </c>
      <c r="M44" s="6">
        <v>1.9999356039875709</v>
      </c>
      <c r="N44" s="6">
        <v>2.3640240161318529</v>
      </c>
      <c r="O44" s="6">
        <v>2.1664841386106763</v>
      </c>
      <c r="P44" s="6">
        <v>2.4876340186002999</v>
      </c>
      <c r="Q44" s="6">
        <v>2.7532014112245831</v>
      </c>
      <c r="R44" s="6">
        <v>2.9404273267982224</v>
      </c>
      <c r="S44" s="6">
        <v>2.6096951757453741</v>
      </c>
      <c r="T44" s="6">
        <v>2.9583394925459285</v>
      </c>
      <c r="U44" s="6">
        <v>3.0577164916805639</v>
      </c>
      <c r="V44" s="6">
        <v>2.6367526167907132</v>
      </c>
      <c r="W44" s="6">
        <v>2.602313086224576</v>
      </c>
      <c r="X44" s="6">
        <v>2.7781474004355231</v>
      </c>
      <c r="Y44" s="6">
        <v>3.0652804253231398</v>
      </c>
      <c r="Z44" s="6">
        <v>2.5351311807548904</v>
      </c>
      <c r="AA44" s="6">
        <v>1.7706592953196747</v>
      </c>
      <c r="AB44" s="6">
        <v>2.0523180229874751</v>
      </c>
      <c r="AC44" s="6">
        <v>2.3196379746000271</v>
      </c>
      <c r="AD44" s="6">
        <v>2.0195332298480961</v>
      </c>
      <c r="AE44" s="6">
        <v>1.9232414905889004</v>
      </c>
      <c r="AF44" s="6">
        <v>1.9220005565741318</v>
      </c>
      <c r="AG44" s="6">
        <v>2.0335026075840208</v>
      </c>
      <c r="AH44" s="6">
        <v>1.7518429664960058</v>
      </c>
      <c r="AI44" s="6">
        <v>1.9754588911204769</v>
      </c>
      <c r="AJ44" s="6">
        <v>2.2224159608192688</v>
      </c>
      <c r="AK44" s="6">
        <v>2.2505366642515199</v>
      </c>
      <c r="AL44" s="6">
        <v>2.7753581156494183</v>
      </c>
      <c r="AM44" s="6">
        <v>3.2127307983101843</v>
      </c>
      <c r="AN44" s="6">
        <v>3.172130345101734</v>
      </c>
      <c r="AO44" s="6">
        <v>3.452528336486266</v>
      </c>
      <c r="AP44" s="6">
        <v>4.184032118669843</v>
      </c>
      <c r="AQ44" s="6">
        <v>3.8748936980505309</v>
      </c>
      <c r="AR44" s="6">
        <v>4.6747147713855863</v>
      </c>
      <c r="AS44" s="6">
        <v>4.8510963842171284</v>
      </c>
      <c r="AT44" s="6">
        <v>5.1735488496098858</v>
      </c>
      <c r="AU44" s="6">
        <v>4.9746198255194409</v>
      </c>
      <c r="AV44" s="6">
        <v>6.4514678866636075</v>
      </c>
      <c r="AW44" s="6">
        <v>7.3673761634304391</v>
      </c>
      <c r="AX44" s="6">
        <v>9.1990861748621917</v>
      </c>
      <c r="AY44" s="6">
        <v>11.327023881774677</v>
      </c>
      <c r="AZ44" s="6">
        <v>12.703385311080932</v>
      </c>
      <c r="BA44" s="6">
        <v>11.758399584615358</v>
      </c>
      <c r="BB44" s="6">
        <v>10.438976432120176</v>
      </c>
      <c r="BC44" s="6">
        <v>8.745059358586559</v>
      </c>
      <c r="BD44" s="6">
        <v>10.443044380046775</v>
      </c>
    </row>
    <row r="45" spans="1:56" ht="15.75" x14ac:dyDescent="0.25">
      <c r="A45" s="12">
        <v>1955</v>
      </c>
      <c r="B45" s="2">
        <v>0.32600000000000001</v>
      </c>
      <c r="C45" s="2">
        <v>1.66E-2</v>
      </c>
      <c r="D45" s="2">
        <v>-1.34E-2</v>
      </c>
      <c r="E45" s="13">
        <v>-0.4</v>
      </c>
      <c r="F45" s="6">
        <f t="shared" si="0"/>
        <v>1</v>
      </c>
      <c r="G45" s="6">
        <v>1.2149000552639999</v>
      </c>
      <c r="H45" s="6">
        <v>1.2227972799289673</v>
      </c>
      <c r="I45" s="6">
        <v>1.0652285393673442</v>
      </c>
      <c r="J45" s="6">
        <v>1.3432345228310523</v>
      </c>
      <c r="K45" s="6">
        <v>1.414059377628428</v>
      </c>
      <c r="L45" s="6">
        <v>1.3876339821821722</v>
      </c>
      <c r="M45" s="6">
        <v>1.6261591702667129</v>
      </c>
      <c r="N45" s="6">
        <v>1.4791696754709107</v>
      </c>
      <c r="O45" s="6">
        <v>1.6842700274094355</v>
      </c>
      <c r="P45" s="6">
        <v>1.8502079615224263</v>
      </c>
      <c r="Q45" s="6">
        <v>1.9624585476857228</v>
      </c>
      <c r="R45" s="6">
        <v>1.7303014834204149</v>
      </c>
      <c r="S45" s="6">
        <v>1.946653717655596</v>
      </c>
      <c r="T45" s="6">
        <v>1.9983670030080991</v>
      </c>
      <c r="U45" s="6">
        <v>1.7116897651556824</v>
      </c>
      <c r="V45" s="6">
        <v>1.6759115391344297</v>
      </c>
      <c r="W45" s="6">
        <v>1.7744162999490594</v>
      </c>
      <c r="X45" s="6">
        <v>1.9423693453074586</v>
      </c>
      <c r="Y45" s="6">
        <v>1.5947112076519241</v>
      </c>
      <c r="Z45" s="6">
        <v>1.1037753300292812</v>
      </c>
      <c r="AA45" s="6">
        <v>1.2623092851750908</v>
      </c>
      <c r="AB45" s="6">
        <v>1.4097934433558719</v>
      </c>
      <c r="AC45" s="6">
        <v>1.2141371220861601</v>
      </c>
      <c r="AD45" s="6">
        <v>1.1414592101164125</v>
      </c>
      <c r="AE45" s="6">
        <v>1.12489026181956</v>
      </c>
      <c r="AF45" s="6">
        <v>1.1730474722148632</v>
      </c>
      <c r="AG45" s="6">
        <v>0.99637746910610558</v>
      </c>
      <c r="AH45" s="6">
        <v>1.1045709273311364</v>
      </c>
      <c r="AI45" s="6">
        <v>1.2233366329699187</v>
      </c>
      <c r="AJ45" s="6">
        <v>1.2211216713414967</v>
      </c>
      <c r="AK45" s="6">
        <v>1.4839654894233358</v>
      </c>
      <c r="AL45" s="6">
        <v>1.6969627324223135</v>
      </c>
      <c r="AM45" s="6">
        <v>1.6575084423945652</v>
      </c>
      <c r="AN45" s="6">
        <v>1.7839286988674881</v>
      </c>
      <c r="AO45" s="6">
        <v>2.1392743247599095</v>
      </c>
      <c r="AP45" s="6">
        <v>1.9637649154882</v>
      </c>
      <c r="AQ45" s="6">
        <v>2.3461520418657025</v>
      </c>
      <c r="AR45" s="6">
        <v>2.4147659087248807</v>
      </c>
      <c r="AS45" s="6">
        <v>2.5546529244688161</v>
      </c>
      <c r="AT45" s="6">
        <v>2.4376915716251539</v>
      </c>
      <c r="AU45" s="6">
        <v>3.1359250966930756</v>
      </c>
      <c r="AV45" s="6">
        <v>3.558576757053201</v>
      </c>
      <c r="AW45" s="6">
        <v>4.4185387871693305</v>
      </c>
      <c r="AX45" s="6">
        <v>5.4160919703030057</v>
      </c>
      <c r="AY45" s="6">
        <v>6.0517760375749035</v>
      </c>
      <c r="AZ45" s="6">
        <v>5.5830237178139432</v>
      </c>
      <c r="BA45" s="6">
        <v>4.9386773401453432</v>
      </c>
      <c r="BB45" s="6">
        <v>4.1203621195656748</v>
      </c>
      <c r="BC45" s="6">
        <v>4.8961627178609426</v>
      </c>
      <c r="BD45" s="6">
        <v>5.175370828531725</v>
      </c>
    </row>
    <row r="46" spans="1:56" ht="15.75" x14ac:dyDescent="0.25">
      <c r="A46" s="14">
        <v>1956</v>
      </c>
      <c r="B46" s="1">
        <v>7.4399999999999994E-2</v>
      </c>
      <c r="C46" s="1">
        <v>2.5600000000000001E-2</v>
      </c>
      <c r="D46" s="1">
        <v>-2.2599999999999999E-2</v>
      </c>
      <c r="E46" s="15">
        <v>1.5</v>
      </c>
      <c r="F46" s="6">
        <f t="shared" si="0"/>
        <v>1</v>
      </c>
      <c r="G46" s="6">
        <v>0.99947851499999996</v>
      </c>
      <c r="H46" s="6">
        <v>0.86441301681872962</v>
      </c>
      <c r="I46" s="6">
        <v>1.0805910496771129</v>
      </c>
      <c r="J46" s="6">
        <v>1.1294742117275653</v>
      </c>
      <c r="K46" s="6">
        <v>1.1006133364315298</v>
      </c>
      <c r="L46" s="6">
        <v>1.2802798895415359</v>
      </c>
      <c r="M46" s="6">
        <v>1.1569862383889347</v>
      </c>
      <c r="N46" s="6">
        <v>1.3076875665553656</v>
      </c>
      <c r="O46" s="6">
        <v>1.4269234987475021</v>
      </c>
      <c r="P46" s="6">
        <v>1.5040288775548676</v>
      </c>
      <c r="Q46" s="6">
        <v>1.3180795711283551</v>
      </c>
      <c r="R46" s="6">
        <v>1.4724189711436086</v>
      </c>
      <c r="S46" s="6">
        <v>1.501789559006133</v>
      </c>
      <c r="T46" s="6">
        <v>1.2780601166609706</v>
      </c>
      <c r="U46" s="6">
        <v>1.2416543678301952</v>
      </c>
      <c r="V46" s="6">
        <v>1.3039103624142598</v>
      </c>
      <c r="W46" s="6">
        <v>1.4159969630878273</v>
      </c>
      <c r="X46" s="6">
        <v>1.1538828016108886</v>
      </c>
      <c r="Y46" s="6">
        <v>0.79116883097409618</v>
      </c>
      <c r="Z46" s="6">
        <v>0.89198719227097412</v>
      </c>
      <c r="AA46" s="6">
        <v>0.98329748843680431</v>
      </c>
      <c r="AB46" s="6">
        <v>0.83660209244948724</v>
      </c>
      <c r="AC46" s="6">
        <v>0.77499332633187257</v>
      </c>
      <c r="AD46" s="6">
        <v>0.75123926468459834</v>
      </c>
      <c r="AE46" s="6">
        <v>0.7697031402744805</v>
      </c>
      <c r="AF46" s="6">
        <v>0.64224776050949328</v>
      </c>
      <c r="AG46" s="6">
        <v>0.69633613447487752</v>
      </c>
      <c r="AH46" s="6">
        <v>0.75501124622682303</v>
      </c>
      <c r="AI46" s="6">
        <v>0.73857623051898069</v>
      </c>
      <c r="AJ46" s="6">
        <v>0.87861621008592183</v>
      </c>
      <c r="AK46" s="6">
        <v>0.98643590448977525</v>
      </c>
      <c r="AL46" s="6">
        <v>0.94751888642823634</v>
      </c>
      <c r="AM46" s="6">
        <v>1.0017610082503956</v>
      </c>
      <c r="AN46" s="6">
        <v>1.1807798809901506</v>
      </c>
      <c r="AO46" s="6">
        <v>1.0679100006076823</v>
      </c>
      <c r="AP46" s="6">
        <v>1.254622059751614</v>
      </c>
      <c r="AQ46" s="6">
        <v>1.2727190458145663</v>
      </c>
      <c r="AR46" s="6">
        <v>1.3270272367050626</v>
      </c>
      <c r="AS46" s="6">
        <v>1.248488800107415</v>
      </c>
      <c r="AT46" s="6">
        <v>1.5817413436183978</v>
      </c>
      <c r="AU46" s="6">
        <v>1.7731755328498502</v>
      </c>
      <c r="AV46" s="6">
        <v>2.1776239350880902</v>
      </c>
      <c r="AW46" s="6">
        <v>2.6453015072363022</v>
      </c>
      <c r="AX46" s="6">
        <v>2.9337879072585968</v>
      </c>
      <c r="AY46" s="6">
        <v>2.688273310627217</v>
      </c>
      <c r="AZ46" s="6">
        <v>2.3603738684912603</v>
      </c>
      <c r="BA46" s="6">
        <v>1.9525031091140377</v>
      </c>
      <c r="BB46" s="6">
        <v>2.296023342288684</v>
      </c>
      <c r="BC46" s="6">
        <v>2.4053443264801389</v>
      </c>
      <c r="BD46" s="6">
        <v>2.3881434531718906</v>
      </c>
    </row>
    <row r="47" spans="1:56" ht="15.75" x14ac:dyDescent="0.25">
      <c r="A47" s="12">
        <v>1957</v>
      </c>
      <c r="B47" s="2">
        <v>-0.1046</v>
      </c>
      <c r="C47" s="2">
        <v>3.2300000000000002E-2</v>
      </c>
      <c r="D47" s="2">
        <v>6.8000000000000005E-2</v>
      </c>
      <c r="E47" s="13">
        <v>3.3</v>
      </c>
      <c r="F47" s="6">
        <f t="shared" si="0"/>
        <v>1</v>
      </c>
      <c r="G47" s="6">
        <v>0.86488195315199989</v>
      </c>
      <c r="H47" s="6">
        <v>1.0812043641544751</v>
      </c>
      <c r="I47" s="6">
        <v>1.1301387635635336</v>
      </c>
      <c r="J47" s="6">
        <v>1.1012835755021102</v>
      </c>
      <c r="K47" s="6">
        <v>1.2810875729297466</v>
      </c>
      <c r="L47" s="6">
        <v>1.1577385881959026</v>
      </c>
      <c r="M47" s="6">
        <v>1.308566946775209</v>
      </c>
      <c r="N47" s="6">
        <v>1.4279119356042986</v>
      </c>
      <c r="O47" s="6">
        <v>1.5050993840866591</v>
      </c>
      <c r="P47" s="6">
        <v>1.3190421751621</v>
      </c>
      <c r="Q47" s="6">
        <v>1.4735263850542282</v>
      </c>
      <c r="R47" s="6">
        <v>1.5029491466855098</v>
      </c>
      <c r="S47" s="6">
        <v>1.2790727111794704</v>
      </c>
      <c r="T47" s="6">
        <v>1.2426684277147266</v>
      </c>
      <c r="U47" s="6">
        <v>1.3050090689600948</v>
      </c>
      <c r="V47" s="6">
        <v>1.4172261267088468</v>
      </c>
      <c r="W47" s="6">
        <v>1.1549122063785418</v>
      </c>
      <c r="X47" s="6">
        <v>0.79189881710048204</v>
      </c>
      <c r="Y47" s="6">
        <v>0.89285195353131652</v>
      </c>
      <c r="Z47" s="6">
        <v>0.98429342464091918</v>
      </c>
      <c r="AA47" s="6">
        <v>0.83748369706964854</v>
      </c>
      <c r="AB47" s="6">
        <v>0.775849082727741</v>
      </c>
      <c r="AC47" s="6">
        <v>0.75211179946824236</v>
      </c>
      <c r="AD47" s="6">
        <v>0.77064501373956473</v>
      </c>
      <c r="AE47" s="6">
        <v>0.64307470996511251</v>
      </c>
      <c r="AF47" s="6">
        <v>0.69728942794764259</v>
      </c>
      <c r="AG47" s="6">
        <v>0.75610486083813233</v>
      </c>
      <c r="AH47" s="6">
        <v>0.73970305122877433</v>
      </c>
      <c r="AI47" s="6">
        <v>0.88002979738135523</v>
      </c>
      <c r="AJ47" s="6">
        <v>0.98809509816739793</v>
      </c>
      <c r="AK47" s="6">
        <v>0.94917682548996773</v>
      </c>
      <c r="AL47" s="6">
        <v>1.0035874947898114</v>
      </c>
      <c r="AM47" s="6">
        <v>1.1830181186732605</v>
      </c>
      <c r="AN47" s="6">
        <v>1.0700019649817254</v>
      </c>
      <c r="AO47" s="6">
        <v>1.2571709566743785</v>
      </c>
      <c r="AP47" s="6">
        <v>1.2753859077260339</v>
      </c>
      <c r="AQ47" s="6">
        <v>1.3298939388471209</v>
      </c>
      <c r="AR47" s="6">
        <v>1.2512657786004782</v>
      </c>
      <c r="AS47" s="6">
        <v>1.5853706110233572</v>
      </c>
      <c r="AT47" s="6">
        <v>1.7773447299959131</v>
      </c>
      <c r="AU47" s="6">
        <v>2.1828568293413331</v>
      </c>
      <c r="AV47" s="6">
        <v>2.6517717457095111</v>
      </c>
      <c r="AW47" s="6">
        <v>2.9410689077632157</v>
      </c>
      <c r="AX47" s="6">
        <v>2.6950330153773865</v>
      </c>
      <c r="AY47" s="6">
        <v>2.3663946190822087</v>
      </c>
      <c r="AZ47" s="6">
        <v>1.9575654063035519</v>
      </c>
      <c r="BA47" s="6">
        <v>2.3020950832044189</v>
      </c>
      <c r="BB47" s="6">
        <v>2.4118127809823044</v>
      </c>
      <c r="BC47" s="6">
        <v>2.394669289851421</v>
      </c>
      <c r="BD47" s="6">
        <v>2.5748630932839869</v>
      </c>
    </row>
    <row r="48" spans="1:56" ht="15.75" x14ac:dyDescent="0.25">
      <c r="A48" s="14">
        <v>1958</v>
      </c>
      <c r="B48" s="1">
        <v>0.43719999999999998</v>
      </c>
      <c r="C48" s="1">
        <v>1.78E-2</v>
      </c>
      <c r="D48" s="1">
        <v>-2.1000000000000001E-2</v>
      </c>
      <c r="E48" s="15">
        <v>2.8</v>
      </c>
      <c r="F48" s="6">
        <f t="shared" si="0"/>
        <v>1</v>
      </c>
      <c r="G48" s="6">
        <v>1.2579231389760002</v>
      </c>
      <c r="H48" s="6">
        <v>1.3216209323243171</v>
      </c>
      <c r="I48" s="6">
        <v>1.2944044486631485</v>
      </c>
      <c r="J48" s="6">
        <v>1.5138112800598236</v>
      </c>
      <c r="K48" s="6">
        <v>1.3745186268742051</v>
      </c>
      <c r="L48" s="6">
        <v>1.5619491850705449</v>
      </c>
      <c r="M48" s="6">
        <v>1.7127174583317915</v>
      </c>
      <c r="N48" s="6">
        <v>1.8135522410128904</v>
      </c>
      <c r="O48" s="6">
        <v>1.5964042981193376</v>
      </c>
      <c r="P48" s="6">
        <v>1.792613634301327</v>
      </c>
      <c r="Q48" s="6">
        <v>1.837069604560347</v>
      </c>
      <c r="R48" s="6">
        <v>1.5708389572165822</v>
      </c>
      <c r="S48" s="6">
        <v>1.5348569003571284</v>
      </c>
      <c r="T48" s="6">
        <v>1.621587401666915</v>
      </c>
      <c r="U48" s="6">
        <v>1.7713940082431434</v>
      </c>
      <c r="V48" s="6">
        <v>1.4515221121439799</v>
      </c>
      <c r="W48" s="6">
        <v>1.0022350453375315</v>
      </c>
      <c r="X48" s="6">
        <v>1.1420219243723631</v>
      </c>
      <c r="Y48" s="6">
        <v>1.2712597890228672</v>
      </c>
      <c r="Z48" s="6">
        <v>1.0915068680566413</v>
      </c>
      <c r="AA48" s="6">
        <v>1.0224244162725173</v>
      </c>
      <c r="AB48" s="6">
        <v>1.0035216122901645</v>
      </c>
      <c r="AC48" s="6">
        <v>1.0420338867078005</v>
      </c>
      <c r="AD48" s="6">
        <v>0.88134968965370686</v>
      </c>
      <c r="AE48" s="6">
        <v>0.97196883104399467</v>
      </c>
      <c r="AF48" s="6">
        <v>1.0712160173013596</v>
      </c>
      <c r="AG48" s="6">
        <v>1.0643821231046118</v>
      </c>
      <c r="AH48" s="6">
        <v>1.2873370176940411</v>
      </c>
      <c r="AI48" s="6">
        <v>1.4661706772108856</v>
      </c>
      <c r="AJ48" s="6">
        <v>1.4268909029036057</v>
      </c>
      <c r="AK48" s="6">
        <v>1.5298663865931446</v>
      </c>
      <c r="AL48" s="6">
        <v>1.8279378714552066</v>
      </c>
      <c r="AM48" s="6">
        <v>1.6727749220798662</v>
      </c>
      <c r="AN48" s="6">
        <v>1.991603222604339</v>
      </c>
      <c r="AO48" s="6">
        <v>2.0438082864690457</v>
      </c>
      <c r="AP48" s="6">
        <v>2.1558977411722893</v>
      </c>
      <c r="AQ48" s="6">
        <v>2.0514168513583444</v>
      </c>
      <c r="AR48" s="6">
        <v>2.6310979058718291</v>
      </c>
      <c r="AS48" s="6">
        <v>2.9786459202262865</v>
      </c>
      <c r="AT48" s="6">
        <v>3.6906488273059908</v>
      </c>
      <c r="AU48" s="6">
        <v>4.5160887608645819</v>
      </c>
      <c r="AV48" s="6">
        <v>5.0389967019734332</v>
      </c>
      <c r="AW48" s="6">
        <v>4.6427560607253175</v>
      </c>
      <c r="AX48" s="6">
        <v>4.101197411465856</v>
      </c>
      <c r="AY48" s="6">
        <v>3.4162020276989549</v>
      </c>
      <c r="AZ48" s="6">
        <v>4.0515900898708059</v>
      </c>
      <c r="BA48" s="6">
        <v>4.2756157675457578</v>
      </c>
      <c r="BB48" s="6">
        <v>4.2750062218129177</v>
      </c>
      <c r="BC48" s="6">
        <v>4.6294666435605833</v>
      </c>
      <c r="BD48" s="6">
        <v>4.7494849978096649</v>
      </c>
    </row>
    <row r="49" spans="1:56" ht="15.75" x14ac:dyDescent="0.25">
      <c r="A49" s="12">
        <v>1959</v>
      </c>
      <c r="B49" s="2">
        <v>0.1206</v>
      </c>
      <c r="C49" s="2">
        <v>3.2599999999999997E-2</v>
      </c>
      <c r="D49" s="2">
        <v>-2.6499999999999999E-2</v>
      </c>
      <c r="E49" s="13">
        <v>0.7</v>
      </c>
      <c r="F49" s="6">
        <f t="shared" si="0"/>
        <v>1</v>
      </c>
      <c r="G49" s="6">
        <v>1.0421504455320001</v>
      </c>
      <c r="H49" s="6">
        <v>1.0125422534448631</v>
      </c>
      <c r="I49" s="6">
        <v>1.1741482809373929</v>
      </c>
      <c r="J49" s="6">
        <v>1.058125600158653</v>
      </c>
      <c r="K49" s="6">
        <v>1.1921348157263687</v>
      </c>
      <c r="L49" s="6">
        <v>1.2970404342365118</v>
      </c>
      <c r="M49" s="6">
        <v>1.3633616533694652</v>
      </c>
      <c r="N49" s="6">
        <v>1.1915910038984665</v>
      </c>
      <c r="O49" s="6">
        <v>1.3269020254688946</v>
      </c>
      <c r="P49" s="6">
        <v>1.3494168501871349</v>
      </c>
      <c r="Q49" s="6">
        <v>1.1450026752418079</v>
      </c>
      <c r="R49" s="6">
        <v>1.1084043736652573</v>
      </c>
      <c r="S49" s="6">
        <v>1.1595375861563921</v>
      </c>
      <c r="T49" s="6">
        <v>1.2544818022703401</v>
      </c>
      <c r="U49" s="6">
        <v>1.0186164515900291</v>
      </c>
      <c r="V49" s="6">
        <v>0.69524683606513393</v>
      </c>
      <c r="W49" s="6">
        <v>0.77835540912639489</v>
      </c>
      <c r="X49" s="6">
        <v>0.8524289910124504</v>
      </c>
      <c r="Y49" s="6">
        <v>0.72075704987930411</v>
      </c>
      <c r="Z49" s="6">
        <v>0.66254480480422684</v>
      </c>
      <c r="AA49" s="6">
        <v>0.63658602121962093</v>
      </c>
      <c r="AB49" s="6">
        <v>0.64593862139250402</v>
      </c>
      <c r="AC49" s="6">
        <v>0.53358454266922772</v>
      </c>
      <c r="AD49" s="6">
        <v>0.57107099814415052</v>
      </c>
      <c r="AE49" s="6">
        <v>0.61130756284633658</v>
      </c>
      <c r="AF49" s="6">
        <v>0.5905091831037288</v>
      </c>
      <c r="AG49" s="6">
        <v>0.6928673191759589</v>
      </c>
      <c r="AH49" s="6">
        <v>0.76841372332074587</v>
      </c>
      <c r="AI49" s="6">
        <v>0.72966156491171963</v>
      </c>
      <c r="AJ49" s="6">
        <v>0.76175612842835949</v>
      </c>
      <c r="AK49" s="6">
        <v>0.88666987549304632</v>
      </c>
      <c r="AL49" s="6">
        <v>0.79302067218982475</v>
      </c>
      <c r="AM49" s="6">
        <v>0.91969065652175463</v>
      </c>
      <c r="AN49" s="6">
        <v>0.92228674929810661</v>
      </c>
      <c r="AO49" s="6">
        <v>0.9503354362220604</v>
      </c>
      <c r="AP49" s="6">
        <v>0.88358691054333804</v>
      </c>
      <c r="AQ49" s="6">
        <v>1.1048465685558264</v>
      </c>
      <c r="AR49" s="6">
        <v>1.2253326452064452</v>
      </c>
      <c r="AS49" s="6">
        <v>1.4900085986110081</v>
      </c>
      <c r="AT49" s="6">
        <v>1.7950960588679179</v>
      </c>
      <c r="AU49" s="6">
        <v>1.9770463089030028</v>
      </c>
      <c r="AV49" s="6">
        <v>1.8000312726014407</v>
      </c>
      <c r="AW49" s="6">
        <v>1.5692322472222071</v>
      </c>
      <c r="AX49" s="6">
        <v>1.2873046516527284</v>
      </c>
      <c r="AY49" s="6">
        <v>1.4981814653601915</v>
      </c>
      <c r="AZ49" s="6">
        <v>1.555373296349456</v>
      </c>
      <c r="BA49" s="6">
        <v>1.5306322620352357</v>
      </c>
      <c r="BB49" s="6">
        <v>1.6307484961890417</v>
      </c>
      <c r="BC49" s="6">
        <v>1.6474288640026333</v>
      </c>
      <c r="BD49" s="6">
        <v>1.1576528534101247</v>
      </c>
    </row>
    <row r="50" spans="1:56" ht="15.75" x14ac:dyDescent="0.25">
      <c r="A50" s="14">
        <v>1960</v>
      </c>
      <c r="B50" s="1">
        <v>3.3999999999999998E-3</v>
      </c>
      <c r="C50" s="1">
        <v>3.0499999999999999E-2</v>
      </c>
      <c r="D50" s="1">
        <v>0.1164</v>
      </c>
      <c r="E50" s="15">
        <v>1.7</v>
      </c>
      <c r="F50" s="6">
        <f t="shared" si="0"/>
        <v>1</v>
      </c>
      <c r="G50" s="6">
        <v>0.97003108439999997</v>
      </c>
      <c r="H50" s="6">
        <v>1.1229194484833052</v>
      </c>
      <c r="I50" s="6">
        <v>1.0104064037871623</v>
      </c>
      <c r="J50" s="6">
        <v>1.1363584773698372</v>
      </c>
      <c r="K50" s="6">
        <v>1.2343469743147399</v>
      </c>
      <c r="L50" s="6">
        <v>1.2954627705168191</v>
      </c>
      <c r="M50" s="6">
        <v>1.1305360391881258</v>
      </c>
      <c r="N50" s="6">
        <v>1.2566622229515736</v>
      </c>
      <c r="O50" s="6">
        <v>1.2758678286154468</v>
      </c>
      <c r="P50" s="6">
        <v>1.0807769703563181</v>
      </c>
      <c r="Q50" s="6">
        <v>1.0440857251931994</v>
      </c>
      <c r="R50" s="6">
        <v>1.0898500645676803</v>
      </c>
      <c r="S50" s="6">
        <v>1.1765197962182503</v>
      </c>
      <c r="T50" s="6">
        <v>0.9533245251504614</v>
      </c>
      <c r="U50" s="6">
        <v>0.64894609804295234</v>
      </c>
      <c r="V50" s="6">
        <v>0.72350630567140661</v>
      </c>
      <c r="W50" s="6">
        <v>0.78925987093365768</v>
      </c>
      <c r="X50" s="6">
        <v>0.66483962476422864</v>
      </c>
      <c r="Y50" s="6">
        <v>0.60826685175316131</v>
      </c>
      <c r="Z50" s="6">
        <v>0.58124386748205958</v>
      </c>
      <c r="AA50" s="6">
        <v>0.58619853184751058</v>
      </c>
      <c r="AB50" s="6">
        <v>0.48113372378619196</v>
      </c>
      <c r="AC50" s="6">
        <v>0.51060657321151137</v>
      </c>
      <c r="AD50" s="6">
        <v>0.54194300674700469</v>
      </c>
      <c r="AE50" s="6">
        <v>0.5190384679815282</v>
      </c>
      <c r="AF50" s="6">
        <v>0.60320789597385094</v>
      </c>
      <c r="AG50" s="6">
        <v>0.66317625507467204</v>
      </c>
      <c r="AH50" s="6">
        <v>0.62450367302963483</v>
      </c>
      <c r="AI50" s="6">
        <v>0.64590779692491285</v>
      </c>
      <c r="AJ50" s="6">
        <v>0.7447054561005173</v>
      </c>
      <c r="AK50" s="6">
        <v>0.66033391153343612</v>
      </c>
      <c r="AL50" s="6">
        <v>0.75802209269480858</v>
      </c>
      <c r="AM50" s="6">
        <v>0.75313603500239834</v>
      </c>
      <c r="AN50" s="6">
        <v>0.76850948081088899</v>
      </c>
      <c r="AO50" s="6">
        <v>0.70745184570716058</v>
      </c>
      <c r="AP50" s="6">
        <v>0.87465348233742712</v>
      </c>
      <c r="AQ50" s="6">
        <v>0.96089350335824841</v>
      </c>
      <c r="AR50" s="6">
        <v>1.1581024744267061</v>
      </c>
      <c r="AS50" s="6">
        <v>1.3847090588133717</v>
      </c>
      <c r="AT50" s="6">
        <v>1.5152352076803015</v>
      </c>
      <c r="AU50" s="6">
        <v>1.3712843314858729</v>
      </c>
      <c r="AV50" s="6">
        <v>1.1873548584169793</v>
      </c>
      <c r="AW50" s="6">
        <v>0.96621896592541823</v>
      </c>
      <c r="AX50" s="6">
        <v>1.1130699196521208</v>
      </c>
      <c r="AY50" s="6">
        <v>1.1450994480013752</v>
      </c>
      <c r="AZ50" s="6">
        <v>1.1167188415565512</v>
      </c>
      <c r="BA50" s="6">
        <v>1.1784742421618657</v>
      </c>
      <c r="BB50" s="6">
        <v>1.179568913544218</v>
      </c>
      <c r="BC50" s="6">
        <v>0.82108207795352828</v>
      </c>
      <c r="BD50" s="6">
        <v>0.93164620723418523</v>
      </c>
    </row>
    <row r="51" spans="1:56" ht="15.75" x14ac:dyDescent="0.25">
      <c r="A51" s="12">
        <v>1961</v>
      </c>
      <c r="B51" s="2">
        <v>0.26640000000000003</v>
      </c>
      <c r="C51" s="2">
        <v>2.2700000000000001E-2</v>
      </c>
      <c r="D51" s="2">
        <v>2.06E-2</v>
      </c>
      <c r="E51" s="13">
        <v>1</v>
      </c>
      <c r="F51" s="6">
        <f t="shared" si="0"/>
        <v>1</v>
      </c>
      <c r="G51" s="6">
        <v>1.15903401768</v>
      </c>
      <c r="H51" s="6">
        <v>1.044046799962761</v>
      </c>
      <c r="I51" s="6">
        <v>1.1756788822008575</v>
      </c>
      <c r="J51" s="6">
        <v>1.2785437125198169</v>
      </c>
      <c r="K51" s="6">
        <v>1.3433291532878464</v>
      </c>
      <c r="L51" s="6">
        <v>1.1735776944866245</v>
      </c>
      <c r="M51" s="6">
        <v>1.3061788737682287</v>
      </c>
      <c r="N51" s="6">
        <v>1.327717365324691</v>
      </c>
      <c r="O51" s="6">
        <v>1.1260538886888274</v>
      </c>
      <c r="P51" s="6">
        <v>1.0894281655653046</v>
      </c>
      <c r="Q51" s="6">
        <v>1.1389773762786639</v>
      </c>
      <c r="R51" s="6">
        <v>1.2314803355747685</v>
      </c>
      <c r="S51" s="6">
        <v>0.99935309309607256</v>
      </c>
      <c r="T51" s="6">
        <v>0.68158652975020895</v>
      </c>
      <c r="U51" s="6">
        <v>0.76217304171067024</v>
      </c>
      <c r="V51" s="6">
        <v>0.83379193322932843</v>
      </c>
      <c r="W51" s="6">
        <v>0.70425949091927464</v>
      </c>
      <c r="X51" s="6">
        <v>0.64653094635407704</v>
      </c>
      <c r="Y51" s="6">
        <v>0.62025818705376823</v>
      </c>
      <c r="Z51" s="6">
        <v>0.62831324526837584</v>
      </c>
      <c r="AA51" s="6">
        <v>0.51810975148841154</v>
      </c>
      <c r="AB51" s="6">
        <v>0.55323191822840578</v>
      </c>
      <c r="AC51" s="6">
        <v>0.59084263886906108</v>
      </c>
      <c r="AD51" s="6">
        <v>0.56942286995147851</v>
      </c>
      <c r="AE51" s="6">
        <v>0.6664147130776813</v>
      </c>
      <c r="AF51" s="6">
        <v>0.73736505944502373</v>
      </c>
      <c r="AG51" s="6">
        <v>0.69863637879367368</v>
      </c>
      <c r="AH51" s="6">
        <v>0.7275768958283968</v>
      </c>
      <c r="AI51" s="6">
        <v>0.84478550091151383</v>
      </c>
      <c r="AJ51" s="6">
        <v>0.75387352525594453</v>
      </c>
      <c r="AK51" s="6">
        <v>0.87199288327433655</v>
      </c>
      <c r="AL51" s="6">
        <v>0.87238148494657941</v>
      </c>
      <c r="AM51" s="6">
        <v>0.89669054084845745</v>
      </c>
      <c r="AN51" s="6">
        <v>0.83162102314627961</v>
      </c>
      <c r="AO51" s="6">
        <v>1.0369317100968778</v>
      </c>
      <c r="AP51" s="6">
        <v>1.1473140253397003</v>
      </c>
      <c r="AQ51" s="6">
        <v>1.3920849041337178</v>
      </c>
      <c r="AR51" s="6">
        <v>1.6740178132960519</v>
      </c>
      <c r="AS51" s="6">
        <v>1.84079618910334</v>
      </c>
      <c r="AT51" s="6">
        <v>1.6735362144790411</v>
      </c>
      <c r="AU51" s="6">
        <v>1.4565653151460043</v>
      </c>
      <c r="AV51" s="6">
        <v>1.1925733577741824</v>
      </c>
      <c r="AW51" s="6">
        <v>1.3845603460323257</v>
      </c>
      <c r="AX51" s="6">
        <v>1.4343284344132818</v>
      </c>
      <c r="AY51" s="6">
        <v>1.4085136014452369</v>
      </c>
      <c r="AZ51" s="6">
        <v>1.4973120735254188</v>
      </c>
      <c r="BA51" s="6">
        <v>1.5093941261397978</v>
      </c>
      <c r="BB51" s="6">
        <v>1.0583529267613019</v>
      </c>
      <c r="BC51" s="6">
        <v>1.2140035284757624</v>
      </c>
      <c r="BD51" s="6">
        <v>1.3137397682654404</v>
      </c>
    </row>
    <row r="52" spans="1:56" ht="15.75" x14ac:dyDescent="0.25">
      <c r="A52" s="14">
        <v>1962</v>
      </c>
      <c r="B52" s="1">
        <v>-8.8099999999999998E-2</v>
      </c>
      <c r="C52" s="1">
        <v>2.7799999999999998E-2</v>
      </c>
      <c r="D52" s="1">
        <v>5.6899999999999999E-2</v>
      </c>
      <c r="E52" s="15">
        <v>1</v>
      </c>
      <c r="F52" s="6">
        <f t="shared" si="0"/>
        <v>1</v>
      </c>
      <c r="G52" s="6">
        <v>0.8959080438</v>
      </c>
      <c r="H52" s="6">
        <v>1.0025276555304459</v>
      </c>
      <c r="I52" s="6">
        <v>1.0839190776024572</v>
      </c>
      <c r="J52" s="6">
        <v>1.1325448816432104</v>
      </c>
      <c r="K52" s="6">
        <v>0.98403957948277054</v>
      </c>
      <c r="L52" s="6">
        <v>1.0881274862924257</v>
      </c>
      <c r="M52" s="6">
        <v>1.0993928879425188</v>
      </c>
      <c r="N52" s="6">
        <v>0.92667257553039484</v>
      </c>
      <c r="O52" s="6">
        <v>0.88975831973334785</v>
      </c>
      <c r="P52" s="6">
        <v>0.92264048141878219</v>
      </c>
      <c r="Q52" s="6">
        <v>0.98945625548338501</v>
      </c>
      <c r="R52" s="6">
        <v>0.79666181776674672</v>
      </c>
      <c r="S52" s="6">
        <v>0.53785121437256778</v>
      </c>
      <c r="T52" s="6">
        <v>0.59190030913550762</v>
      </c>
      <c r="U52" s="6">
        <v>0.63769066606802538</v>
      </c>
      <c r="V52" s="6">
        <v>0.53067027663568156</v>
      </c>
      <c r="W52" s="6">
        <v>0.47803128451045612</v>
      </c>
      <c r="X52" s="6">
        <v>0.44845483659021035</v>
      </c>
      <c r="Y52" s="6">
        <v>0.44285700896984487</v>
      </c>
      <c r="Z52" s="6">
        <v>0.35528221750057665</v>
      </c>
      <c r="AA52" s="6">
        <v>0.36552706603669938</v>
      </c>
      <c r="AB52" s="6">
        <v>0.37550835322136794</v>
      </c>
      <c r="AC52" s="6">
        <v>0.34755025588140737</v>
      </c>
      <c r="AD52" s="6">
        <v>0.38807734695711699</v>
      </c>
      <c r="AE52" s="6">
        <v>0.41066744437359348</v>
      </c>
      <c r="AF52" s="6">
        <v>0.37218579939085594</v>
      </c>
      <c r="AG52" s="6">
        <v>0.36793907630500178</v>
      </c>
      <c r="AH52" s="6">
        <v>0.40407329057886077</v>
      </c>
      <c r="AI52" s="6">
        <v>0.34196273929295107</v>
      </c>
      <c r="AJ52" s="6">
        <v>0.37011142304396827</v>
      </c>
      <c r="AK52" s="6">
        <v>0.34727254923158152</v>
      </c>
      <c r="AL52" s="6">
        <v>0.33223277707923032</v>
      </c>
      <c r="AM52" s="6">
        <v>0.2848299745638494</v>
      </c>
      <c r="AN52" s="6">
        <v>0.32232375223878135</v>
      </c>
      <c r="AO52" s="6">
        <v>0.32639312698309708</v>
      </c>
      <c r="AP52" s="6">
        <v>0.36172051960607426</v>
      </c>
      <c r="AQ52" s="6">
        <v>0.40001857701034926</v>
      </c>
      <c r="AR52" s="6">
        <v>0.40715674587589584</v>
      </c>
      <c r="AS52" s="6">
        <v>0.34254065304930814</v>
      </c>
      <c r="AT52" s="6">
        <v>0.27107088762277731</v>
      </c>
      <c r="AU52" s="6">
        <v>0.19579977979901617</v>
      </c>
      <c r="AV52" s="6">
        <v>0.18902585041799758</v>
      </c>
      <c r="AW52" s="6">
        <v>0.16068046458485355</v>
      </c>
      <c r="AX52" s="6">
        <v>0.12356699858462296</v>
      </c>
      <c r="AY52" s="6">
        <v>9.327867542624807E-2</v>
      </c>
      <c r="AZ52" s="6">
        <v>5.6976726238082885E-2</v>
      </c>
      <c r="BA52" s="6">
        <v>1.3507668917366525E-2</v>
      </c>
      <c r="BB52" s="6">
        <v>-2.93843954903663E-2</v>
      </c>
      <c r="BC52" s="6">
        <v>-7.551287772113871E-2</v>
      </c>
      <c r="BD52" s="6">
        <v>-0.11545448596225523</v>
      </c>
    </row>
    <row r="53" spans="1:56" ht="15.75" x14ac:dyDescent="0.25">
      <c r="A53" s="12">
        <v>1963</v>
      </c>
      <c r="B53" s="2">
        <v>0.2261</v>
      </c>
      <c r="C53" s="2">
        <v>3.1099999999999999E-2</v>
      </c>
      <c r="D53" s="2">
        <v>1.6799999999999999E-2</v>
      </c>
      <c r="E53" s="13">
        <v>1.3</v>
      </c>
      <c r="F53" s="6">
        <f t="shared" si="0"/>
        <v>1</v>
      </c>
      <c r="G53" s="6">
        <v>1.1241950055839998</v>
      </c>
      <c r="H53" s="6">
        <v>1.2206750454398012</v>
      </c>
      <c r="I53" s="6">
        <v>1.2806556646686571</v>
      </c>
      <c r="J53" s="6">
        <v>1.1172214265311879</v>
      </c>
      <c r="K53" s="6">
        <v>1.2413446190834061</v>
      </c>
      <c r="L53" s="6">
        <v>1.2598285640254216</v>
      </c>
      <c r="M53" s="6">
        <v>1.0667708958752977</v>
      </c>
      <c r="N53" s="6">
        <v>1.0300593819615547</v>
      </c>
      <c r="O53" s="6">
        <v>1.0746528998264067</v>
      </c>
      <c r="P53" s="6">
        <v>1.1595181663349787</v>
      </c>
      <c r="Q53" s="6">
        <v>0.93908593350942993</v>
      </c>
      <c r="R53" s="6">
        <v>0.63884902575046276</v>
      </c>
      <c r="S53" s="6">
        <v>0.71154504141471298</v>
      </c>
      <c r="T53" s="6">
        <v>0.77548421207087748</v>
      </c>
      <c r="U53" s="6">
        <v>0.65264538536514383</v>
      </c>
      <c r="V53" s="6">
        <v>0.59643014160002272</v>
      </c>
      <c r="W53" s="6">
        <v>0.56917508087130364</v>
      </c>
      <c r="X53" s="6">
        <v>0.57317066169549247</v>
      </c>
      <c r="Y53" s="6">
        <v>0.46969546744979057</v>
      </c>
      <c r="Z53" s="6">
        <v>0.49742074301208411</v>
      </c>
      <c r="AA53" s="6">
        <v>0.52681627297580969</v>
      </c>
      <c r="AB53" s="6">
        <v>0.50345243181426347</v>
      </c>
      <c r="AC53" s="6">
        <v>0.58365534203095537</v>
      </c>
      <c r="AD53" s="6">
        <v>0.64022650588816676</v>
      </c>
      <c r="AE53" s="6">
        <v>0.60157127752547435</v>
      </c>
      <c r="AF53" s="6">
        <v>0.62064407483058714</v>
      </c>
      <c r="AG53" s="6">
        <v>0.7137464462272638</v>
      </c>
      <c r="AH53" s="6">
        <v>0.63139813487341956</v>
      </c>
      <c r="AI53" s="6">
        <v>0.72276608499139872</v>
      </c>
      <c r="AJ53" s="6">
        <v>0.71624835105766849</v>
      </c>
      <c r="AK53" s="6">
        <v>0.72885763302483442</v>
      </c>
      <c r="AL53" s="6">
        <v>0.66904104365814865</v>
      </c>
      <c r="AM53" s="6">
        <v>0.82445393191849226</v>
      </c>
      <c r="AN53" s="6">
        <v>0.90322571562393816</v>
      </c>
      <c r="AO53" s="6">
        <v>1.0857217679117623</v>
      </c>
      <c r="AP53" s="6">
        <v>1.2952135694442088</v>
      </c>
      <c r="AQ53" s="6">
        <v>1.41452536430187</v>
      </c>
      <c r="AR53" s="6">
        <v>1.2777849825650509</v>
      </c>
      <c r="AS53" s="6">
        <v>1.1040766264417963</v>
      </c>
      <c r="AT53" s="6">
        <v>0.89619793560579419</v>
      </c>
      <c r="AU53" s="6">
        <v>1.029086396196754</v>
      </c>
      <c r="AV53" s="6">
        <v>1.0556286342855385</v>
      </c>
      <c r="AW53" s="6">
        <v>1.0264543250945763</v>
      </c>
      <c r="AX53" s="6">
        <v>1.0798441547374216</v>
      </c>
      <c r="AY53" s="6">
        <v>1.0775399622934645</v>
      </c>
      <c r="AZ53" s="6">
        <v>0.74768412369853676</v>
      </c>
      <c r="BA53" s="6">
        <v>0.84430109150595134</v>
      </c>
      <c r="BB53" s="6">
        <v>0.90066668070504674</v>
      </c>
      <c r="BC53" s="6">
        <v>0.8756760823920563</v>
      </c>
      <c r="BD53" s="6">
        <v>0.92898352626692537</v>
      </c>
    </row>
    <row r="54" spans="1:56" ht="15.75" x14ac:dyDescent="0.25">
      <c r="A54" s="14">
        <v>1964</v>
      </c>
      <c r="B54" s="1">
        <v>0.16420000000000001</v>
      </c>
      <c r="C54" s="1">
        <v>3.5099999999999999E-2</v>
      </c>
      <c r="D54" s="1">
        <v>3.73E-2</v>
      </c>
      <c r="E54" s="15">
        <v>1.3</v>
      </c>
      <c r="F54" s="6">
        <f t="shared" si="0"/>
        <v>1</v>
      </c>
      <c r="G54" s="6">
        <v>1.0810779540120001</v>
      </c>
      <c r="H54" s="6">
        <v>1.1294678602429078</v>
      </c>
      <c r="I54" s="6">
        <v>0.98127270873150718</v>
      </c>
      <c r="J54" s="6">
        <v>1.0849443797902483</v>
      </c>
      <c r="K54" s="6">
        <v>1.096059815234407</v>
      </c>
      <c r="L54" s="6">
        <v>0.92376201411790326</v>
      </c>
      <c r="M54" s="6">
        <v>0.88684354633101381</v>
      </c>
      <c r="N54" s="6">
        <v>0.91948240301964435</v>
      </c>
      <c r="O54" s="6">
        <v>0.98592319645569171</v>
      </c>
      <c r="P54" s="6">
        <v>0.79370293764264277</v>
      </c>
      <c r="Q54" s="6">
        <v>0.53575297128286536</v>
      </c>
      <c r="R54" s="6">
        <v>0.58941467376084766</v>
      </c>
      <c r="S54" s="6">
        <v>0.63482798665189155</v>
      </c>
      <c r="T54" s="6">
        <v>0.52813622737742905</v>
      </c>
      <c r="U54" s="6">
        <v>0.47557153236011196</v>
      </c>
      <c r="V54" s="6">
        <v>0.44594685730933042</v>
      </c>
      <c r="W54" s="6">
        <v>0.44014972534067398</v>
      </c>
      <c r="X54" s="6">
        <v>0.35290526687361617</v>
      </c>
      <c r="Y54" s="6">
        <v>0.36278695719163184</v>
      </c>
      <c r="Z54" s="6">
        <v>0.3723649108763244</v>
      </c>
      <c r="AA54" s="6">
        <v>0.34431136724750699</v>
      </c>
      <c r="AB54" s="6">
        <v>0.38401418785433133</v>
      </c>
      <c r="AC54" s="6">
        <v>0.40589832405375526</v>
      </c>
      <c r="AD54" s="6">
        <v>0.36742028528903875</v>
      </c>
      <c r="AE54" s="6">
        <v>0.36268909603656208</v>
      </c>
      <c r="AF54" s="6">
        <v>0.39763978919857462</v>
      </c>
      <c r="AG54" s="6">
        <v>0.33594968009486936</v>
      </c>
      <c r="AH54" s="6">
        <v>0.36278497510032054</v>
      </c>
      <c r="AI54" s="6">
        <v>0.3396070274159434</v>
      </c>
      <c r="AJ54" s="6">
        <v>0.32399284245254611</v>
      </c>
      <c r="AK54" s="6">
        <v>0.27684793802547453</v>
      </c>
      <c r="AL54" s="6">
        <v>0.3118919303480891</v>
      </c>
      <c r="AM54" s="6">
        <v>0.31440935251790458</v>
      </c>
      <c r="AN54" s="6">
        <v>0.34667929647986956</v>
      </c>
      <c r="AO54" s="6">
        <v>0.38142078086818892</v>
      </c>
      <c r="AP54" s="6">
        <v>0.38622852759513931</v>
      </c>
      <c r="AQ54" s="6">
        <v>0.3231108265528978</v>
      </c>
      <c r="AR54" s="6">
        <v>0.25376508157298483</v>
      </c>
      <c r="AS54" s="6">
        <v>0.18124891408804431</v>
      </c>
      <c r="AT54" s="6">
        <v>0.17157347980655266</v>
      </c>
      <c r="AU54" s="6">
        <v>0.14208779621810927</v>
      </c>
      <c r="AV54" s="6">
        <v>0.10480939316938383</v>
      </c>
      <c r="AW54" s="6">
        <v>7.2782645153293246E-2</v>
      </c>
      <c r="AX54" s="6">
        <v>3.577438800478025E-2</v>
      </c>
      <c r="AY54" s="6">
        <v>-1.744945489324365E-3</v>
      </c>
      <c r="AZ54" s="6">
        <v>-4.7535328769544728E-2</v>
      </c>
      <c r="BA54" s="6">
        <v>-9.5793139093462779E-2</v>
      </c>
      <c r="BB54" s="6">
        <v>-0.13604535657291597</v>
      </c>
      <c r="BC54" s="6">
        <v>-0.19328440440041947</v>
      </c>
      <c r="BD54" s="6">
        <v>-0.28250703939633787</v>
      </c>
    </row>
    <row r="55" spans="1:56" ht="15.75" x14ac:dyDescent="0.25">
      <c r="A55" s="12">
        <v>1965</v>
      </c>
      <c r="B55" s="2">
        <v>0.124</v>
      </c>
      <c r="C55" s="2">
        <v>3.9E-2</v>
      </c>
      <c r="D55" s="2">
        <v>7.1999999999999998E-3</v>
      </c>
      <c r="E55" s="13">
        <v>1.6</v>
      </c>
      <c r="F55" s="6">
        <f t="shared" si="0"/>
        <v>1</v>
      </c>
      <c r="G55" s="6">
        <v>1.0416580231680002</v>
      </c>
      <c r="H55" s="6">
        <v>0.90231372916384434</v>
      </c>
      <c r="I55" s="6">
        <v>0.9941071619142956</v>
      </c>
      <c r="J55" s="6">
        <v>1.0009429689787097</v>
      </c>
      <c r="K55" s="6">
        <v>0.84070249317917078</v>
      </c>
      <c r="L55" s="6">
        <v>0.80366382663714997</v>
      </c>
      <c r="M55" s="6">
        <v>0.82935941925658574</v>
      </c>
      <c r="N55" s="6">
        <v>0.88509928357447809</v>
      </c>
      <c r="O55" s="6">
        <v>0.70926453185314553</v>
      </c>
      <c r="P55" s="6">
        <v>0.4758748099440549</v>
      </c>
      <c r="Q55" s="6">
        <v>0.5184813883260998</v>
      </c>
      <c r="R55" s="6">
        <v>0.55313488789617504</v>
      </c>
      <c r="S55" s="6">
        <v>0.4558213411419812</v>
      </c>
      <c r="T55" s="6">
        <v>0.40537688387794207</v>
      </c>
      <c r="U55" s="6">
        <v>0.3743759374516949</v>
      </c>
      <c r="V55" s="6">
        <v>0.36289120046669998</v>
      </c>
      <c r="W55" s="6">
        <v>0.28507354907407489</v>
      </c>
      <c r="X55" s="6">
        <v>0.28459168977191102</v>
      </c>
      <c r="Y55" s="6">
        <v>0.28265960036224758</v>
      </c>
      <c r="Z55" s="6">
        <v>0.25188227877299868</v>
      </c>
      <c r="AA55" s="6">
        <v>0.26806265797874973</v>
      </c>
      <c r="AB55" s="6">
        <v>0.26980057763106458</v>
      </c>
      <c r="AC55" s="6">
        <v>0.23142545053828303</v>
      </c>
      <c r="AD55" s="6">
        <v>0.21286891214938336</v>
      </c>
      <c r="AE55" s="6">
        <v>0.21404512587627664</v>
      </c>
      <c r="AF55" s="6">
        <v>0.16435329521001019</v>
      </c>
      <c r="AG55" s="6">
        <v>0.15370804108674357</v>
      </c>
      <c r="AH55" s="6">
        <v>0.12085384563467093</v>
      </c>
      <c r="AI55" s="6">
        <v>8.8847478495766741E-2</v>
      </c>
      <c r="AJ55" s="6">
        <v>4.9062285351218274E-2</v>
      </c>
      <c r="AK55" s="6">
        <v>1.4196054548862689E-2</v>
      </c>
      <c r="AL55" s="6">
        <v>-2.7575036419848448E-2</v>
      </c>
      <c r="AM55" s="6">
        <v>-8.2556376690730321E-2</v>
      </c>
      <c r="AN55" s="6">
        <v>-0.14930983057139202</v>
      </c>
      <c r="AO55" s="6">
        <v>-0.21100600490450988</v>
      </c>
      <c r="AP55" s="6">
        <v>-0.23136367234904306</v>
      </c>
      <c r="AQ55" s="6">
        <v>-0.24009564020575305</v>
      </c>
      <c r="AR55" s="6">
        <v>-0.23399328970472366</v>
      </c>
      <c r="AS55" s="6">
        <v>-0.32646979665912557</v>
      </c>
      <c r="AT55" s="6">
        <v>-0.38849648243230045</v>
      </c>
      <c r="AU55" s="6">
        <v>-0.43048174106367598</v>
      </c>
      <c r="AV55" s="6">
        <v>-0.5121184149346717</v>
      </c>
      <c r="AW55" s="6">
        <v>-0.56928278374257912</v>
      </c>
      <c r="AX55" s="6">
        <v>-0.4370131519067581</v>
      </c>
      <c r="AY55" s="6">
        <v>-0.56551368727081042</v>
      </c>
      <c r="AZ55" s="6">
        <v>-0.67453674054030366</v>
      </c>
      <c r="BA55" s="6">
        <v>-0.72365290242054037</v>
      </c>
      <c r="BB55" s="6">
        <v>-0.84509732357466849</v>
      </c>
      <c r="BC55" s="6">
        <v>-1.0779893031503789</v>
      </c>
      <c r="BD55" s="6">
        <v>-1.2407397776657074</v>
      </c>
    </row>
    <row r="56" spans="1:56" ht="15.75" x14ac:dyDescent="0.25">
      <c r="A56" s="14">
        <v>1966</v>
      </c>
      <c r="B56" s="1">
        <v>-9.9699999999999997E-2</v>
      </c>
      <c r="C56" s="1">
        <v>4.8399999999999999E-2</v>
      </c>
      <c r="D56" s="1">
        <v>2.9100000000000001E-2</v>
      </c>
      <c r="E56" s="15">
        <v>2.9</v>
      </c>
      <c r="F56" s="6">
        <f t="shared" si="0"/>
        <v>1</v>
      </c>
      <c r="G56" s="6">
        <v>0.86485465726799982</v>
      </c>
      <c r="H56" s="6">
        <v>0.95101291356071949</v>
      </c>
      <c r="I56" s="6">
        <v>0.95581841440737181</v>
      </c>
      <c r="J56" s="6">
        <v>0.80129807605632564</v>
      </c>
      <c r="K56" s="6">
        <v>0.76420238580610989</v>
      </c>
      <c r="L56" s="6">
        <v>0.78660401199659868</v>
      </c>
      <c r="M56" s="6">
        <v>0.83726722923287833</v>
      </c>
      <c r="N56" s="6">
        <v>0.66920595548148942</v>
      </c>
      <c r="O56" s="6">
        <v>0.44746790343560161</v>
      </c>
      <c r="P56" s="6">
        <v>0.4848298004578484</v>
      </c>
      <c r="Q56" s="6">
        <v>0.51437871758545894</v>
      </c>
      <c r="R56" s="6">
        <v>0.42151430554621167</v>
      </c>
      <c r="S56" s="6">
        <v>0.37207571409846341</v>
      </c>
      <c r="T56" s="6">
        <v>0.34042184828693495</v>
      </c>
      <c r="U56" s="6">
        <v>0.32623884434878597</v>
      </c>
      <c r="V56" s="6">
        <v>0.25289338150118673</v>
      </c>
      <c r="W56" s="6">
        <v>0.24749493193349409</v>
      </c>
      <c r="X56" s="6">
        <v>0.24010234222156579</v>
      </c>
      <c r="Y56" s="6">
        <v>0.20803282821789137</v>
      </c>
      <c r="Z56" s="6">
        <v>0.21305388357684019</v>
      </c>
      <c r="AA56" s="6">
        <v>0.20523420030419939</v>
      </c>
      <c r="AB56" s="6">
        <v>0.16690789572329739</v>
      </c>
      <c r="AC56" s="6">
        <v>0.14179244851716019</v>
      </c>
      <c r="AD56" s="6">
        <v>0.12694565054440654</v>
      </c>
      <c r="AE56" s="6">
        <v>8.2945944790028481E-2</v>
      </c>
      <c r="AF56" s="6">
        <v>5.4519475760036337E-2</v>
      </c>
      <c r="AG56" s="6">
        <v>1.7074754153791429E-2</v>
      </c>
      <c r="AH56" s="6">
        <v>-2.2708257693595871E-2</v>
      </c>
      <c r="AI56" s="6">
        <v>-5.9001916935677405E-2</v>
      </c>
      <c r="AJ56" s="6">
        <v>-0.12703438277085344</v>
      </c>
      <c r="AK56" s="6">
        <v>-0.18981646713005607</v>
      </c>
      <c r="AL56" s="6">
        <v>-0.28619084650780968</v>
      </c>
      <c r="AM56" s="6">
        <v>-0.40109469709444762</v>
      </c>
      <c r="AN56" s="6">
        <v>-0.49434111655465551</v>
      </c>
      <c r="AO56" s="6">
        <v>-0.4944129193442045</v>
      </c>
      <c r="AP56" s="6">
        <v>-0.47438899588153599</v>
      </c>
      <c r="AQ56" s="6">
        <v>-0.43098909247764117</v>
      </c>
      <c r="AR56" s="6">
        <v>-0.56274740564699866</v>
      </c>
      <c r="AS56" s="6">
        <v>-0.6402119269529406</v>
      </c>
      <c r="AT56" s="6">
        <v>-0.68443017342989432</v>
      </c>
      <c r="AU56" s="6">
        <v>-0.78960238169509933</v>
      </c>
      <c r="AV56" s="6">
        <v>-0.85632904778602725</v>
      </c>
      <c r="AW56" s="6">
        <v>-0.64350952670088435</v>
      </c>
      <c r="AX56" s="6">
        <v>-0.81124873447925638</v>
      </c>
      <c r="AY56" s="6">
        <v>-0.94909953624208199</v>
      </c>
      <c r="AZ56" s="6">
        <v>-1.0024208579712399</v>
      </c>
      <c r="BA56" s="6">
        <v>-1.1543250660769024</v>
      </c>
      <c r="BB56" s="6">
        <v>-1.4553754785162427</v>
      </c>
      <c r="BC56" s="6">
        <v>-1.6602367554596882</v>
      </c>
      <c r="BD56" s="6">
        <v>-1.719813959838606</v>
      </c>
    </row>
    <row r="57" spans="1:56" ht="15.75" x14ac:dyDescent="0.25">
      <c r="A57" s="12">
        <v>1967</v>
      </c>
      <c r="B57" s="2">
        <v>0.23799999999999999</v>
      </c>
      <c r="C57" s="2">
        <v>4.3299999999999998E-2</v>
      </c>
      <c r="D57" s="2">
        <v>-1.5800000000000002E-2</v>
      </c>
      <c r="E57" s="13">
        <v>3.1</v>
      </c>
      <c r="F57" s="6">
        <f t="shared" si="0"/>
        <v>1</v>
      </c>
      <c r="G57" s="6">
        <v>1.1064889216079998</v>
      </c>
      <c r="H57" s="6">
        <v>1.118619388497945</v>
      </c>
      <c r="I57" s="6">
        <v>0.94346186142796329</v>
      </c>
      <c r="J57" s="6">
        <v>0.90657190207811011</v>
      </c>
      <c r="K57" s="6">
        <v>0.94085754459515214</v>
      </c>
      <c r="L57" s="6">
        <v>1.0098363573614448</v>
      </c>
      <c r="M57" s="6">
        <v>0.81372982537758365</v>
      </c>
      <c r="N57" s="6">
        <v>0.54995472229527254</v>
      </c>
      <c r="O57" s="6">
        <v>0.60623845117338737</v>
      </c>
      <c r="P57" s="6">
        <v>0.65420374940111747</v>
      </c>
      <c r="Q57" s="6">
        <v>0.54528768937699312</v>
      </c>
      <c r="R57" s="6">
        <v>0.49222012172655055</v>
      </c>
      <c r="S57" s="6">
        <v>0.46292186724318213</v>
      </c>
      <c r="T57" s="6">
        <v>0.45847370706145002</v>
      </c>
      <c r="U57" s="6">
        <v>0.36899342231115728</v>
      </c>
      <c r="V57" s="6">
        <v>0.38133311314254414</v>
      </c>
      <c r="W57" s="6">
        <v>0.39364098976597212</v>
      </c>
      <c r="X57" s="6">
        <v>0.36623346491164999</v>
      </c>
      <c r="Y57" s="6">
        <v>0.41151527873591404</v>
      </c>
      <c r="Z57" s="6">
        <v>0.43817764367260942</v>
      </c>
      <c r="AA57" s="6">
        <v>0.39967519657756995</v>
      </c>
      <c r="AB57" s="6">
        <v>0.39822306870081081</v>
      </c>
      <c r="AC57" s="6">
        <v>0.44118430755739091</v>
      </c>
      <c r="AD57" s="6">
        <v>0.37664847708990024</v>
      </c>
      <c r="AE57" s="6">
        <v>0.41237331403573391</v>
      </c>
      <c r="AF57" s="6">
        <v>0.39149035434795881</v>
      </c>
      <c r="AG57" s="6">
        <v>0.37976402573488133</v>
      </c>
      <c r="AH57" s="6">
        <v>0.3308735635815766</v>
      </c>
      <c r="AI57" s="6">
        <v>0.38249868598306574</v>
      </c>
      <c r="AJ57" s="6">
        <v>0.39552034579545237</v>
      </c>
      <c r="AK57" s="6">
        <v>0.4484843288942621</v>
      </c>
      <c r="AL57" s="6">
        <v>0.50729812629432791</v>
      </c>
      <c r="AM57" s="6">
        <v>0.52787910498309043</v>
      </c>
      <c r="AN57" s="6">
        <v>0.45461968721376539</v>
      </c>
      <c r="AO57" s="6">
        <v>0.37089771972838081</v>
      </c>
      <c r="AP57" s="6">
        <v>0.27973501079265073</v>
      </c>
      <c r="AQ57" s="6">
        <v>0.28969812571455145</v>
      </c>
      <c r="AR57" s="6">
        <v>0.26793043480305107</v>
      </c>
      <c r="AS57" s="6">
        <v>0.23176839186862369</v>
      </c>
      <c r="AT57" s="6">
        <v>0.21150800071758072</v>
      </c>
      <c r="AU57" s="6">
        <v>0.17928031920406909</v>
      </c>
      <c r="AV57" s="6">
        <v>0.10149086791817236</v>
      </c>
      <c r="AW57" s="6">
        <v>7.5317469525755534E-2</v>
      </c>
      <c r="AX57" s="6">
        <v>4.1471805988351221E-2</v>
      </c>
      <c r="AY57" s="6">
        <v>3.3219164453798522E-3</v>
      </c>
      <c r="AZ57" s="6">
        <v>-3.8689063163997554E-2</v>
      </c>
      <c r="BA57" s="6">
        <v>-9.3836566021290063E-2</v>
      </c>
      <c r="BB57" s="6">
        <v>-0.14676992433686475</v>
      </c>
      <c r="BC57" s="6">
        <v>-0.18729802979253826</v>
      </c>
      <c r="BD57" s="6">
        <v>-0.24383056410865139</v>
      </c>
    </row>
    <row r="58" spans="1:56" ht="15.75" x14ac:dyDescent="0.25">
      <c r="A58" s="14">
        <v>1968</v>
      </c>
      <c r="B58" s="1">
        <v>0.1081</v>
      </c>
      <c r="C58" s="1">
        <v>5.2600000000000001E-2</v>
      </c>
      <c r="D58" s="1">
        <v>3.27E-2</v>
      </c>
      <c r="E58" s="15">
        <v>4.2</v>
      </c>
      <c r="F58" s="6">
        <f t="shared" si="0"/>
        <v>1</v>
      </c>
    </row>
    <row r="59" spans="1:56" ht="15.75" x14ac:dyDescent="0.25">
      <c r="A59" s="12">
        <v>1969</v>
      </c>
      <c r="B59" s="2">
        <v>-8.2400000000000001E-2</v>
      </c>
      <c r="C59" s="2">
        <v>6.5600000000000006E-2</v>
      </c>
      <c r="D59" s="2">
        <v>-5.0099999999999999E-2</v>
      </c>
      <c r="E59" s="13">
        <v>5.5</v>
      </c>
      <c r="F59" s="6">
        <f t="shared" si="0"/>
        <v>1</v>
      </c>
    </row>
    <row r="60" spans="1:56" ht="15.75" x14ac:dyDescent="0.25">
      <c r="A60" s="14">
        <v>1970</v>
      </c>
      <c r="B60" s="1">
        <v>3.56E-2</v>
      </c>
      <c r="C60" s="1">
        <v>6.6900000000000001E-2</v>
      </c>
      <c r="D60" s="1">
        <v>0.16750000000000001</v>
      </c>
      <c r="E60" s="15">
        <v>5.7</v>
      </c>
      <c r="F60" s="6">
        <f t="shared" si="0"/>
        <v>1</v>
      </c>
    </row>
    <row r="61" spans="1:56" ht="15.75" x14ac:dyDescent="0.25">
      <c r="A61" s="12">
        <v>1971</v>
      </c>
      <c r="B61" s="2">
        <v>0.14219999999999999</v>
      </c>
      <c r="C61" s="2">
        <v>4.5400000000000003E-2</v>
      </c>
      <c r="D61" s="2">
        <v>9.7900000000000001E-2</v>
      </c>
      <c r="E61" s="13">
        <v>4.4000000000000004</v>
      </c>
      <c r="F61" s="6">
        <f t="shared" si="0"/>
        <v>1</v>
      </c>
    </row>
    <row r="62" spans="1:56" ht="15.75" x14ac:dyDescent="0.25">
      <c r="A62" s="14">
        <v>1972</v>
      </c>
      <c r="B62" s="1">
        <v>0.18759999999999999</v>
      </c>
      <c r="C62" s="1">
        <v>3.95E-2</v>
      </c>
      <c r="D62" s="1">
        <v>2.8199999999999999E-2</v>
      </c>
      <c r="E62" s="15">
        <v>3.2</v>
      </c>
      <c r="F62" s="6">
        <f t="shared" si="0"/>
        <v>1</v>
      </c>
    </row>
    <row r="63" spans="1:56" ht="15.75" x14ac:dyDescent="0.25">
      <c r="A63" s="12">
        <v>1973</v>
      </c>
      <c r="B63" s="2">
        <v>-0.1431</v>
      </c>
      <c r="C63" s="2">
        <v>6.7299999999999999E-2</v>
      </c>
      <c r="D63" s="2">
        <v>3.6600000000000001E-2</v>
      </c>
      <c r="E63" s="13">
        <v>6.2</v>
      </c>
      <c r="F63" s="6">
        <f t="shared" si="0"/>
        <v>1</v>
      </c>
    </row>
    <row r="64" spans="1:56" ht="15.75" x14ac:dyDescent="0.25">
      <c r="A64" s="14">
        <v>1974</v>
      </c>
      <c r="B64" s="1">
        <v>-0.25900000000000001</v>
      </c>
      <c r="C64" s="1">
        <v>7.7799999999999994E-2</v>
      </c>
      <c r="D64" s="1">
        <v>1.9900000000000001E-2</v>
      </c>
      <c r="E64" s="15">
        <v>11</v>
      </c>
      <c r="F64" s="6">
        <f t="shared" si="0"/>
        <v>1</v>
      </c>
    </row>
    <row r="65" spans="1:6" ht="15.75" x14ac:dyDescent="0.25">
      <c r="A65" s="12">
        <v>1975</v>
      </c>
      <c r="B65" s="2">
        <v>0.37</v>
      </c>
      <c r="C65" s="2">
        <v>5.9900000000000002E-2</v>
      </c>
      <c r="D65" s="2">
        <v>3.61E-2</v>
      </c>
      <c r="E65" s="13">
        <v>9.1</v>
      </c>
      <c r="F65" s="6">
        <f t="shared" si="0"/>
        <v>1</v>
      </c>
    </row>
    <row r="66" spans="1:6" ht="15.75" x14ac:dyDescent="0.25">
      <c r="A66" s="14">
        <v>1976</v>
      </c>
      <c r="B66" s="1">
        <v>0.23830000000000001</v>
      </c>
      <c r="C66" s="1">
        <v>4.9700000000000001E-2</v>
      </c>
      <c r="D66" s="1">
        <v>0.1598</v>
      </c>
      <c r="E66" s="15">
        <v>5.8</v>
      </c>
      <c r="F66" s="6">
        <f t="shared" si="0"/>
        <v>1</v>
      </c>
    </row>
    <row r="67" spans="1:6" ht="15.75" x14ac:dyDescent="0.25">
      <c r="A67" s="12">
        <v>1977</v>
      </c>
      <c r="B67" s="2">
        <v>-6.9800000000000001E-2</v>
      </c>
      <c r="C67" s="2">
        <v>5.1299999999999998E-2</v>
      </c>
      <c r="D67" s="2">
        <v>1.29E-2</v>
      </c>
      <c r="E67" s="13">
        <v>6.5</v>
      </c>
      <c r="F67" s="6">
        <f t="shared" si="0"/>
        <v>1</v>
      </c>
    </row>
    <row r="68" spans="1:6" ht="15.75" x14ac:dyDescent="0.25">
      <c r="A68" s="14">
        <v>1978</v>
      </c>
      <c r="B68" s="1">
        <v>6.5100000000000005E-2</v>
      </c>
      <c r="C68" s="1">
        <v>6.93E-2</v>
      </c>
      <c r="D68" s="1">
        <v>-7.7999999999999996E-3</v>
      </c>
      <c r="E68" s="15">
        <v>7.6</v>
      </c>
      <c r="F68" s="6">
        <f t="shared" si="0"/>
        <v>1</v>
      </c>
    </row>
    <row r="69" spans="1:6" ht="15.75" x14ac:dyDescent="0.25">
      <c r="A69" s="12">
        <v>1979</v>
      </c>
      <c r="B69" s="2">
        <v>0.1852</v>
      </c>
      <c r="C69" s="2">
        <v>9.9400000000000002E-2</v>
      </c>
      <c r="D69" s="2">
        <v>6.7000000000000002E-3</v>
      </c>
      <c r="E69" s="13">
        <v>11.3</v>
      </c>
      <c r="F69" s="6">
        <f t="shared" si="0"/>
        <v>1</v>
      </c>
    </row>
    <row r="70" spans="1:6" ht="15.75" x14ac:dyDescent="0.25">
      <c r="A70" s="14">
        <v>1980</v>
      </c>
      <c r="B70" s="1">
        <v>0.31740000000000002</v>
      </c>
      <c r="C70" s="1">
        <v>0.11219999999999999</v>
      </c>
      <c r="D70" s="1">
        <v>-2.9899999999999999E-2</v>
      </c>
      <c r="E70" s="15">
        <v>13.5</v>
      </c>
      <c r="F70" s="6">
        <f t="shared" si="0"/>
        <v>1</v>
      </c>
    </row>
    <row r="71" spans="1:6" ht="15.75" x14ac:dyDescent="0.25">
      <c r="A71" s="12">
        <v>1981</v>
      </c>
      <c r="B71" s="2">
        <v>-4.7E-2</v>
      </c>
      <c r="C71" s="2">
        <v>0.14299999999999999</v>
      </c>
      <c r="D71" s="2">
        <v>8.2000000000000003E-2</v>
      </c>
      <c r="E71" s="13">
        <v>10.3</v>
      </c>
      <c r="F71" s="6">
        <f t="shared" si="0"/>
        <v>1</v>
      </c>
    </row>
    <row r="72" spans="1:6" ht="15.75" x14ac:dyDescent="0.25">
      <c r="A72" s="14">
        <v>1982</v>
      </c>
      <c r="B72" s="1">
        <v>0.20419999999999999</v>
      </c>
      <c r="C72" s="1">
        <v>0.1101</v>
      </c>
      <c r="D72" s="1">
        <v>0.3281</v>
      </c>
      <c r="E72" s="15">
        <v>6.2</v>
      </c>
      <c r="F72" s="6">
        <f t="shared" si="0"/>
        <v>1</v>
      </c>
    </row>
    <row r="73" spans="1:6" ht="15.75" x14ac:dyDescent="0.25">
      <c r="A73" s="12">
        <v>1983</v>
      </c>
      <c r="B73" s="2">
        <v>0.22339999999999999</v>
      </c>
      <c r="C73" s="2">
        <v>8.4500000000000006E-2</v>
      </c>
      <c r="D73" s="2">
        <v>3.2000000000000001E-2</v>
      </c>
      <c r="E73" s="13">
        <v>3.2</v>
      </c>
      <c r="F73" s="6">
        <f t="shared" si="0"/>
        <v>1</v>
      </c>
    </row>
    <row r="74" spans="1:6" ht="15.75" x14ac:dyDescent="0.25">
      <c r="A74" s="14">
        <v>1984</v>
      </c>
      <c r="B74" s="1">
        <v>6.1499999999999999E-2</v>
      </c>
      <c r="C74" s="1">
        <v>9.6100000000000005E-2</v>
      </c>
      <c r="D74" s="1">
        <v>0.13730000000000001</v>
      </c>
      <c r="E74" s="15">
        <v>4.3</v>
      </c>
      <c r="F74" s="6">
        <f t="shared" si="0"/>
        <v>1</v>
      </c>
    </row>
    <row r="75" spans="1:6" ht="15.75" x14ac:dyDescent="0.25">
      <c r="A75" s="12">
        <v>1985</v>
      </c>
      <c r="B75" s="2">
        <v>0.31240000000000001</v>
      </c>
      <c r="C75" s="2">
        <v>7.4899999999999994E-2</v>
      </c>
      <c r="D75" s="2">
        <v>0.2571</v>
      </c>
      <c r="E75" s="13">
        <v>3.6</v>
      </c>
      <c r="F75" s="6">
        <f t="shared" si="0"/>
        <v>1</v>
      </c>
    </row>
    <row r="76" spans="1:6" ht="15.75" x14ac:dyDescent="0.25">
      <c r="A76" s="14">
        <v>1986</v>
      </c>
      <c r="B76" s="1">
        <v>0.18490000000000001</v>
      </c>
      <c r="C76" s="1">
        <v>6.0400000000000002E-2</v>
      </c>
      <c r="D76" s="1">
        <v>0.24279999999999999</v>
      </c>
      <c r="E76" s="15">
        <v>1.9</v>
      </c>
      <c r="F76" s="6">
        <f t="shared" si="0"/>
        <v>1</v>
      </c>
    </row>
    <row r="77" spans="1:6" ht="15.75" x14ac:dyDescent="0.25">
      <c r="A77" s="12">
        <v>1987</v>
      </c>
      <c r="B77" s="2">
        <v>5.8099999999999999E-2</v>
      </c>
      <c r="C77" s="2">
        <v>5.7200000000000001E-2</v>
      </c>
      <c r="D77" s="2">
        <v>-4.9599999999999998E-2</v>
      </c>
      <c r="E77" s="13">
        <v>3.6</v>
      </c>
      <c r="F77" s="6">
        <f t="shared" si="0"/>
        <v>1</v>
      </c>
    </row>
    <row r="78" spans="1:6" ht="15.75" x14ac:dyDescent="0.25">
      <c r="A78" s="14">
        <v>1988</v>
      </c>
      <c r="B78" s="1">
        <v>0.16539999999999999</v>
      </c>
      <c r="C78" s="1">
        <v>6.4500000000000002E-2</v>
      </c>
      <c r="D78" s="1">
        <v>8.2199999999999995E-2</v>
      </c>
      <c r="E78" s="15">
        <v>4.0999999999999996</v>
      </c>
      <c r="F78" s="6">
        <f t="shared" si="0"/>
        <v>1</v>
      </c>
    </row>
    <row r="79" spans="1:6" ht="15.75" x14ac:dyDescent="0.25">
      <c r="A79" s="12">
        <v>1989</v>
      </c>
      <c r="B79" s="2">
        <v>0.31480000000000002</v>
      </c>
      <c r="C79" s="2">
        <v>8.1100000000000005E-2</v>
      </c>
      <c r="D79" s="2">
        <v>0.1769</v>
      </c>
      <c r="E79" s="13">
        <v>4.8</v>
      </c>
      <c r="F79" s="6">
        <f t="shared" si="0"/>
        <v>1</v>
      </c>
    </row>
    <row r="80" spans="1:6" ht="15.75" x14ac:dyDescent="0.25">
      <c r="A80" s="14">
        <v>1990</v>
      </c>
      <c r="B80" s="1">
        <v>-3.0599999999999999E-2</v>
      </c>
      <c r="C80" s="1">
        <v>7.5499999999999998E-2</v>
      </c>
      <c r="D80" s="1">
        <v>6.2399999999999997E-2</v>
      </c>
      <c r="E80" s="15">
        <v>5.4</v>
      </c>
      <c r="F80" s="6">
        <f t="shared" si="0"/>
        <v>1</v>
      </c>
    </row>
    <row r="81" spans="1:6" ht="15.75" x14ac:dyDescent="0.25">
      <c r="A81" s="12">
        <v>1991</v>
      </c>
      <c r="B81" s="2">
        <v>0.30230000000000001</v>
      </c>
      <c r="C81" s="2">
        <v>5.6099999999999997E-2</v>
      </c>
      <c r="D81" s="2">
        <v>0.15</v>
      </c>
      <c r="E81" s="13">
        <v>4.2</v>
      </c>
      <c r="F81" s="6">
        <f t="shared" si="0"/>
        <v>1</v>
      </c>
    </row>
    <row r="82" spans="1:6" ht="15.75" x14ac:dyDescent="0.25">
      <c r="A82" s="14">
        <v>1992</v>
      </c>
      <c r="B82" s="1">
        <v>7.4899999999999994E-2</v>
      </c>
      <c r="C82" s="1">
        <v>3.4099999999999998E-2</v>
      </c>
      <c r="D82" s="1">
        <v>9.3600000000000003E-2</v>
      </c>
      <c r="E82" s="15">
        <v>3</v>
      </c>
      <c r="F82" s="6">
        <f t="shared" si="0"/>
        <v>1</v>
      </c>
    </row>
    <row r="83" spans="1:6" ht="15.75" x14ac:dyDescent="0.25">
      <c r="A83" s="12">
        <v>1993</v>
      </c>
      <c r="B83" s="2">
        <v>9.9699999999999997E-2</v>
      </c>
      <c r="C83" s="2">
        <v>2.98E-2</v>
      </c>
      <c r="D83" s="2">
        <v>0.1421</v>
      </c>
      <c r="E83" s="13">
        <v>3</v>
      </c>
      <c r="F83" s="6">
        <f t="shared" ref="F83:F107" si="1">$G$3</f>
        <v>1</v>
      </c>
    </row>
    <row r="84" spans="1:6" ht="15.75" x14ac:dyDescent="0.25">
      <c r="A84" s="14">
        <v>1994</v>
      </c>
      <c r="B84" s="1">
        <v>1.3299999999999999E-2</v>
      </c>
      <c r="C84" s="1">
        <v>3.9899999999999998E-2</v>
      </c>
      <c r="D84" s="1">
        <v>-8.0399999999999999E-2</v>
      </c>
      <c r="E84" s="15">
        <v>2.6</v>
      </c>
      <c r="F84" s="6">
        <f t="shared" si="1"/>
        <v>1</v>
      </c>
    </row>
    <row r="85" spans="1:6" ht="15.75" x14ac:dyDescent="0.25">
      <c r="A85" s="12">
        <v>1995</v>
      </c>
      <c r="B85" s="2">
        <v>0.372</v>
      </c>
      <c r="C85" s="2">
        <v>5.5199999999999999E-2</v>
      </c>
      <c r="D85" s="2">
        <v>0.23480000000000001</v>
      </c>
      <c r="E85" s="13">
        <v>2.8</v>
      </c>
      <c r="F85" s="6">
        <f t="shared" si="1"/>
        <v>1</v>
      </c>
    </row>
    <row r="86" spans="1:6" ht="15.75" x14ac:dyDescent="0.25">
      <c r="A86" s="14">
        <v>1996</v>
      </c>
      <c r="B86" s="1">
        <v>0.2268</v>
      </c>
      <c r="C86" s="1">
        <v>5.0200000000000002E-2</v>
      </c>
      <c r="D86" s="1">
        <v>1.43E-2</v>
      </c>
      <c r="E86" s="15">
        <v>3</v>
      </c>
      <c r="F86" s="6">
        <f t="shared" si="1"/>
        <v>1</v>
      </c>
    </row>
    <row r="87" spans="1:6" ht="15.75" x14ac:dyDescent="0.25">
      <c r="A87" s="12">
        <v>1997</v>
      </c>
      <c r="B87" s="2">
        <v>0.33100000000000002</v>
      </c>
      <c r="C87" s="2">
        <v>5.0500000000000003E-2</v>
      </c>
      <c r="D87" s="2">
        <v>9.9400000000000002E-2</v>
      </c>
      <c r="E87" s="13">
        <v>2.2999999999999998</v>
      </c>
      <c r="F87" s="6">
        <f t="shared" si="1"/>
        <v>1</v>
      </c>
    </row>
    <row r="88" spans="1:6" ht="15.75" x14ac:dyDescent="0.25">
      <c r="A88" s="14">
        <v>1998</v>
      </c>
      <c r="B88" s="1">
        <v>0.28339999999999999</v>
      </c>
      <c r="C88" s="1">
        <v>4.7300000000000002E-2</v>
      </c>
      <c r="D88" s="1">
        <v>0.1492</v>
      </c>
      <c r="E88" s="15">
        <v>1.6</v>
      </c>
      <c r="F88" s="6">
        <f t="shared" si="1"/>
        <v>1</v>
      </c>
    </row>
    <row r="89" spans="1:6" ht="15.75" x14ac:dyDescent="0.25">
      <c r="A89" s="12">
        <v>1999</v>
      </c>
      <c r="B89" s="2">
        <v>0.2089</v>
      </c>
      <c r="C89" s="2">
        <v>4.5100000000000001E-2</v>
      </c>
      <c r="D89" s="2">
        <v>-8.2500000000000004E-2</v>
      </c>
      <c r="E89" s="13">
        <v>2.2000000000000002</v>
      </c>
      <c r="F89" s="6">
        <f t="shared" si="1"/>
        <v>1</v>
      </c>
    </row>
    <row r="90" spans="1:6" ht="15.75" x14ac:dyDescent="0.25">
      <c r="A90" s="14">
        <v>2000</v>
      </c>
      <c r="B90" s="1">
        <v>-9.0300000000000005E-2</v>
      </c>
      <c r="C90" s="1">
        <v>5.7599999999999998E-2</v>
      </c>
      <c r="D90" s="1">
        <v>0.1666</v>
      </c>
      <c r="E90" s="15">
        <v>3.4</v>
      </c>
      <c r="F90" s="6">
        <f t="shared" si="1"/>
        <v>1</v>
      </c>
    </row>
    <row r="91" spans="1:6" ht="15.75" x14ac:dyDescent="0.25">
      <c r="A91" s="12">
        <v>2001</v>
      </c>
      <c r="B91" s="2">
        <v>-0.11849999999999999</v>
      </c>
      <c r="C91" s="2">
        <v>3.6700000000000003E-2</v>
      </c>
      <c r="D91" s="2">
        <v>5.57E-2</v>
      </c>
      <c r="E91" s="13">
        <v>2.8</v>
      </c>
      <c r="F91" s="6">
        <f t="shared" si="1"/>
        <v>1</v>
      </c>
    </row>
    <row r="92" spans="1:6" ht="15.75" x14ac:dyDescent="0.25">
      <c r="A92" s="14">
        <v>2002</v>
      </c>
      <c r="B92" s="1">
        <v>-0.21970000000000001</v>
      </c>
      <c r="C92" s="1">
        <v>1.66E-2</v>
      </c>
      <c r="D92" s="1">
        <v>0.1512</v>
      </c>
      <c r="E92" s="15">
        <v>1.6</v>
      </c>
      <c r="F92" s="6">
        <f t="shared" si="1"/>
        <v>1</v>
      </c>
    </row>
    <row r="93" spans="1:6" ht="15.75" x14ac:dyDescent="0.25">
      <c r="A93" s="12">
        <v>2003</v>
      </c>
      <c r="B93" s="2">
        <v>0.28360000000000002</v>
      </c>
      <c r="C93" s="2">
        <v>1.03E-2</v>
      </c>
      <c r="D93" s="2">
        <v>3.8E-3</v>
      </c>
      <c r="E93" s="13">
        <v>2.2999999999999998</v>
      </c>
      <c r="F93" s="6">
        <f t="shared" si="1"/>
        <v>1</v>
      </c>
    </row>
    <row r="94" spans="1:6" ht="15.75" x14ac:dyDescent="0.25">
      <c r="A94" s="14">
        <v>2004</v>
      </c>
      <c r="B94" s="1">
        <v>0.1074</v>
      </c>
      <c r="C94" s="1">
        <v>1.23E-2</v>
      </c>
      <c r="D94" s="1">
        <v>4.4900000000000002E-2</v>
      </c>
      <c r="E94" s="15">
        <v>2.7</v>
      </c>
      <c r="F94" s="6">
        <f t="shared" si="1"/>
        <v>1</v>
      </c>
    </row>
    <row r="95" spans="1:6" ht="15.75" x14ac:dyDescent="0.25">
      <c r="A95" s="12">
        <v>2005</v>
      </c>
      <c r="B95" s="2">
        <v>4.8300000000000003E-2</v>
      </c>
      <c r="C95" s="2">
        <v>3.0099999999999998E-2</v>
      </c>
      <c r="D95" s="2">
        <v>2.87E-2</v>
      </c>
      <c r="E95" s="13">
        <v>3.4</v>
      </c>
      <c r="F95" s="6">
        <f t="shared" si="1"/>
        <v>1</v>
      </c>
    </row>
    <row r="96" spans="1:6" ht="15.75" x14ac:dyDescent="0.25">
      <c r="A96" s="14">
        <v>2006</v>
      </c>
      <c r="B96" s="1">
        <v>0.15609999999999999</v>
      </c>
      <c r="C96" s="1">
        <v>4.6800000000000001E-2</v>
      </c>
      <c r="D96" s="1">
        <v>1.9599999999999999E-2</v>
      </c>
      <c r="E96" s="15">
        <v>3.2</v>
      </c>
      <c r="F96" s="6">
        <f t="shared" si="1"/>
        <v>1</v>
      </c>
    </row>
    <row r="97" spans="1:29" ht="15.75" x14ac:dyDescent="0.25">
      <c r="A97" s="12">
        <v>2007</v>
      </c>
      <c r="B97" s="2">
        <v>5.4800000000000001E-2</v>
      </c>
      <c r="C97" s="2">
        <v>4.6399999999999997E-2</v>
      </c>
      <c r="D97" s="2">
        <v>0.1021</v>
      </c>
      <c r="E97" s="13">
        <v>2.8</v>
      </c>
      <c r="F97" s="6">
        <f t="shared" si="1"/>
        <v>1</v>
      </c>
    </row>
    <row r="98" spans="1:29" ht="15.75" x14ac:dyDescent="0.25">
      <c r="A98" s="14">
        <v>2008</v>
      </c>
      <c r="B98" s="1">
        <v>-0.36549999999999999</v>
      </c>
      <c r="C98" s="1">
        <v>1.5900000000000001E-2</v>
      </c>
      <c r="D98" s="1">
        <v>0.20100000000000001</v>
      </c>
      <c r="E98" s="15">
        <v>3.8</v>
      </c>
      <c r="F98" s="6">
        <f t="shared" si="1"/>
        <v>1</v>
      </c>
    </row>
    <row r="99" spans="1:29" ht="15.75" x14ac:dyDescent="0.25">
      <c r="A99" s="12">
        <v>2009</v>
      </c>
      <c r="B99" s="2">
        <v>0.25940000000000002</v>
      </c>
      <c r="C99" s="2">
        <v>1.4E-3</v>
      </c>
      <c r="D99" s="2">
        <v>-0.11119999999999999</v>
      </c>
      <c r="E99" s="13">
        <v>-0.4</v>
      </c>
      <c r="F99" s="6">
        <f t="shared" si="1"/>
        <v>1</v>
      </c>
    </row>
    <row r="100" spans="1:29" ht="15.75" x14ac:dyDescent="0.25">
      <c r="A100" s="14">
        <v>2010</v>
      </c>
      <c r="B100" s="1">
        <v>0.1482</v>
      </c>
      <c r="C100" s="1">
        <v>1.2999999999999999E-3</v>
      </c>
      <c r="D100" s="1">
        <v>8.4599999999999995E-2</v>
      </c>
      <c r="E100" s="15">
        <v>1.6</v>
      </c>
      <c r="F100" s="6">
        <f t="shared" si="1"/>
        <v>1</v>
      </c>
    </row>
    <row r="101" spans="1:29" ht="15.75" x14ac:dyDescent="0.25">
      <c r="A101" s="12">
        <v>2011</v>
      </c>
      <c r="B101" s="2">
        <v>2.1000000000000001E-2</v>
      </c>
      <c r="C101" s="2">
        <v>2.9999999999999997E-4</v>
      </c>
      <c r="D101" s="2">
        <v>0.16039999999999999</v>
      </c>
      <c r="E101" s="13">
        <v>3.2</v>
      </c>
      <c r="F101" s="6">
        <f t="shared" si="1"/>
        <v>1</v>
      </c>
    </row>
    <row r="102" spans="1:29" ht="15.75" x14ac:dyDescent="0.25">
      <c r="A102" s="14">
        <v>2012</v>
      </c>
      <c r="B102" s="1">
        <v>0.15890000000000001</v>
      </c>
      <c r="C102" s="1">
        <v>5.0000000000000001E-4</v>
      </c>
      <c r="D102" s="1">
        <v>2.9700000000000001E-2</v>
      </c>
      <c r="E102" s="15">
        <v>2.1</v>
      </c>
      <c r="F102" s="6">
        <f t="shared" si="1"/>
        <v>1</v>
      </c>
    </row>
    <row r="103" spans="1:29" ht="15.75" x14ac:dyDescent="0.25">
      <c r="A103" s="12">
        <v>2013</v>
      </c>
      <c r="B103" s="2">
        <v>0.32150000000000001</v>
      </c>
      <c r="C103" s="2">
        <v>6.9999999999999999E-4</v>
      </c>
      <c r="D103" s="2">
        <v>-9.0999999999999998E-2</v>
      </c>
      <c r="E103" s="13">
        <v>1.5</v>
      </c>
      <c r="F103" s="6">
        <f t="shared" si="1"/>
        <v>1</v>
      </c>
    </row>
    <row r="104" spans="1:29" ht="15.75" x14ac:dyDescent="0.25">
      <c r="A104" s="14">
        <v>2014</v>
      </c>
      <c r="B104" s="1">
        <v>0.13519999999999999</v>
      </c>
      <c r="C104" s="1">
        <v>5.0000000000000001E-4</v>
      </c>
      <c r="D104" s="1">
        <v>0.1075</v>
      </c>
      <c r="E104" s="16">
        <v>1.6</v>
      </c>
      <c r="F104" s="6">
        <f t="shared" si="1"/>
        <v>1</v>
      </c>
    </row>
    <row r="105" spans="1:29" ht="15.75" x14ac:dyDescent="0.25">
      <c r="A105" s="17">
        <v>2015</v>
      </c>
      <c r="B105" s="2">
        <v>1.38E-2</v>
      </c>
      <c r="C105" s="4">
        <v>2.0999999999999999E-3</v>
      </c>
      <c r="D105" s="2">
        <v>1.2800000000000001E-2</v>
      </c>
      <c r="E105" s="13">
        <v>0.1</v>
      </c>
      <c r="F105" s="6">
        <f t="shared" si="1"/>
        <v>1</v>
      </c>
    </row>
    <row r="106" spans="1:29" ht="15.75" x14ac:dyDescent="0.25">
      <c r="A106" s="18">
        <v>2016</v>
      </c>
      <c r="B106" s="1">
        <v>0.1177</v>
      </c>
      <c r="C106" s="3">
        <v>5.1000000000000004E-3</v>
      </c>
      <c r="D106" s="1">
        <v>6.8999999999999999E-3</v>
      </c>
      <c r="E106" s="16">
        <v>1.3</v>
      </c>
      <c r="F106" s="6">
        <f t="shared" si="1"/>
        <v>1</v>
      </c>
    </row>
    <row r="107" spans="1:29" ht="16.5" thickBot="1" x14ac:dyDescent="0.3">
      <c r="A107" s="19">
        <v>2017</v>
      </c>
      <c r="B107" s="20">
        <v>0.21640000000000001</v>
      </c>
      <c r="C107" s="20">
        <v>1.3899999999999999E-2</v>
      </c>
      <c r="D107" s="20">
        <v>2.8000000000000001E-2</v>
      </c>
      <c r="E107" s="21">
        <v>2.1</v>
      </c>
      <c r="F107" s="6">
        <f t="shared" si="1"/>
        <v>1</v>
      </c>
    </row>
    <row r="108" spans="1:29" x14ac:dyDescent="0.25"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</row>
    <row r="109" spans="1:29" x14ac:dyDescent="0.25"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</row>
    <row r="110" spans="1:29" x14ac:dyDescent="0.25"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</row>
    <row r="111" spans="1:29" x14ac:dyDescent="0.25"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</row>
    <row r="112" spans="1:29" x14ac:dyDescent="0.25"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</row>
    <row r="113" spans="7:29" x14ac:dyDescent="0.25"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</row>
    <row r="114" spans="7:29" x14ac:dyDescent="0.25"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</row>
    <row r="115" spans="7:29" x14ac:dyDescent="0.25"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</row>
    <row r="116" spans="7:29" x14ac:dyDescent="0.25"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</row>
    <row r="117" spans="7:29" x14ac:dyDescent="0.25"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</row>
    <row r="118" spans="7:29" x14ac:dyDescent="0.25"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</row>
    <row r="119" spans="7:29" x14ac:dyDescent="0.25"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</row>
    <row r="120" spans="7:29" x14ac:dyDescent="0.25"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</row>
    <row r="121" spans="7:29" x14ac:dyDescent="0.25"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</row>
    <row r="122" spans="7:29" x14ac:dyDescent="0.25"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</row>
    <row r="123" spans="7:29" x14ac:dyDescent="0.25"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</row>
    <row r="124" spans="7:29" x14ac:dyDescent="0.25"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</row>
    <row r="125" spans="7:29" x14ac:dyDescent="0.25"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</row>
    <row r="126" spans="7:29" x14ac:dyDescent="0.25"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</row>
    <row r="127" spans="7:29" x14ac:dyDescent="0.25"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</row>
    <row r="128" spans="7:29" x14ac:dyDescent="0.25"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</row>
    <row r="129" spans="7:29" x14ac:dyDescent="0.25"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</row>
    <row r="130" spans="7:29" x14ac:dyDescent="0.25"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</row>
    <row r="131" spans="7:29" x14ac:dyDescent="0.25"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</row>
    <row r="132" spans="7:29" x14ac:dyDescent="0.25"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</row>
    <row r="133" spans="7:29" x14ac:dyDescent="0.25"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</row>
    <row r="134" spans="7:29" x14ac:dyDescent="0.25"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</row>
    <row r="135" spans="7:29" x14ac:dyDescent="0.25"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</row>
  </sheetData>
  <mergeCells count="5">
    <mergeCell ref="A8:A17"/>
    <mergeCell ref="B8:B17"/>
    <mergeCell ref="C8:C17"/>
    <mergeCell ref="D8:D17"/>
    <mergeCell ref="E8:E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.calcSurvivability">
                <anchor moveWithCells="1" sizeWithCells="1">
                  <from>
                    <xdr:col>8</xdr:col>
                    <xdr:colOff>66675</xdr:colOff>
                    <xdr:row>1</xdr:row>
                    <xdr:rowOff>133350</xdr:rowOff>
                  </from>
                  <to>
                    <xdr:col>9</xdr:col>
                    <xdr:colOff>447675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W21" sqref="W2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U106"/>
  <sheetViews>
    <sheetView topLeftCell="A13" zoomScale="95" zoomScaleNormal="95" workbookViewId="0">
      <selection activeCell="I24" sqref="I24"/>
    </sheetView>
  </sheetViews>
  <sheetFormatPr defaultRowHeight="15" x14ac:dyDescent="0.25"/>
  <cols>
    <col min="1" max="1" width="7.85546875" bestFit="1" customWidth="1"/>
    <col min="6" max="6" width="15.85546875" bestFit="1" customWidth="1"/>
    <col min="7" max="21" width="9.140625" customWidth="1"/>
  </cols>
  <sheetData>
    <row r="1" spans="1:21" x14ac:dyDescent="0.25">
      <c r="A1" t="s">
        <v>8</v>
      </c>
    </row>
    <row r="2" spans="1:21" x14ac:dyDescent="0.25">
      <c r="B2" t="s">
        <v>2</v>
      </c>
    </row>
    <row r="3" spans="1:21" x14ac:dyDescent="0.25">
      <c r="B3" t="s">
        <v>3</v>
      </c>
    </row>
    <row r="4" spans="1:21" x14ac:dyDescent="0.25">
      <c r="B4" t="s">
        <v>9</v>
      </c>
    </row>
    <row r="7" spans="1:21" ht="15.75" thickBot="1" x14ac:dyDescent="0.3"/>
    <row r="8" spans="1:21" ht="15" customHeight="1" x14ac:dyDescent="0.25">
      <c r="A8" s="29" t="s">
        <v>1</v>
      </c>
      <c r="B8" s="30" t="s">
        <v>0</v>
      </c>
      <c r="C8" s="30" t="s">
        <v>4</v>
      </c>
      <c r="D8" s="30" t="s">
        <v>5</v>
      </c>
      <c r="E8" s="31" t="s">
        <v>7</v>
      </c>
      <c r="F8" s="36" t="s">
        <v>11</v>
      </c>
      <c r="G8" s="54">
        <v>0.25</v>
      </c>
      <c r="H8" s="55">
        <v>0.25</v>
      </c>
      <c r="I8" s="55">
        <v>0.25</v>
      </c>
      <c r="J8" s="55">
        <v>0.25</v>
      </c>
      <c r="K8" s="56">
        <v>0.25</v>
      </c>
      <c r="L8" s="54">
        <v>0.5</v>
      </c>
      <c r="M8" s="55">
        <v>0.5</v>
      </c>
      <c r="N8" s="55">
        <v>0.5</v>
      </c>
      <c r="O8" s="55">
        <v>0.5</v>
      </c>
      <c r="P8" s="56">
        <v>0.5</v>
      </c>
      <c r="Q8" s="54">
        <v>0.75</v>
      </c>
      <c r="R8" s="55">
        <v>0.75</v>
      </c>
      <c r="S8" s="55">
        <v>0.75</v>
      </c>
      <c r="T8" s="55">
        <v>0.75</v>
      </c>
      <c r="U8" s="56">
        <v>0.75</v>
      </c>
    </row>
    <row r="9" spans="1:21" ht="15" customHeight="1" x14ac:dyDescent="0.25">
      <c r="A9" s="23"/>
      <c r="B9" s="25"/>
      <c r="C9" s="25"/>
      <c r="D9" s="25"/>
      <c r="E9" s="27"/>
      <c r="F9" s="33" t="s">
        <v>12</v>
      </c>
      <c r="G9" s="57">
        <f>1-G8</f>
        <v>0.75</v>
      </c>
      <c r="H9" s="48">
        <f>1-H8</f>
        <v>0.75</v>
      </c>
      <c r="I9" s="48">
        <f>1-I8</f>
        <v>0.75</v>
      </c>
      <c r="J9" s="48">
        <f>1-J8</f>
        <v>0.75</v>
      </c>
      <c r="K9" s="58">
        <f>1-K8</f>
        <v>0.75</v>
      </c>
      <c r="L9" s="57">
        <f>1-L8</f>
        <v>0.5</v>
      </c>
      <c r="M9" s="48">
        <f>1-M8</f>
        <v>0.5</v>
      </c>
      <c r="N9" s="48">
        <f>1-N8</f>
        <v>0.5</v>
      </c>
      <c r="O9" s="48">
        <f>1-O8</f>
        <v>0.5</v>
      </c>
      <c r="P9" s="58">
        <f>1-P8</f>
        <v>0.5</v>
      </c>
      <c r="Q9" s="57">
        <f>1-Q8</f>
        <v>0.25</v>
      </c>
      <c r="R9" s="48">
        <f>1-R8</f>
        <v>0.25</v>
      </c>
      <c r="S9" s="48">
        <f>1-S8</f>
        <v>0.25</v>
      </c>
      <c r="T9" s="48">
        <f>1-T8</f>
        <v>0.25</v>
      </c>
      <c r="U9" s="58">
        <f>1-U8</f>
        <v>0.25</v>
      </c>
    </row>
    <row r="10" spans="1:21" ht="15" customHeight="1" x14ac:dyDescent="0.25">
      <c r="A10" s="23"/>
      <c r="B10" s="25"/>
      <c r="C10" s="25"/>
      <c r="D10" s="25"/>
      <c r="E10" s="27"/>
      <c r="F10" s="33" t="s">
        <v>6</v>
      </c>
      <c r="G10" s="59">
        <v>0.2</v>
      </c>
      <c r="H10" s="47">
        <v>0.4</v>
      </c>
      <c r="I10" s="47">
        <v>0.6</v>
      </c>
      <c r="J10" s="47">
        <v>0.8</v>
      </c>
      <c r="K10" s="60">
        <v>1</v>
      </c>
      <c r="L10" s="59">
        <v>0.2</v>
      </c>
      <c r="M10" s="47">
        <v>0.4</v>
      </c>
      <c r="N10" s="47">
        <v>0.6</v>
      </c>
      <c r="O10" s="47">
        <v>0.8</v>
      </c>
      <c r="P10" s="60">
        <v>1</v>
      </c>
      <c r="Q10" s="59">
        <v>0.2</v>
      </c>
      <c r="R10" s="47">
        <v>0.4</v>
      </c>
      <c r="S10" s="47">
        <v>0.6</v>
      </c>
      <c r="T10" s="47">
        <v>0.8</v>
      </c>
      <c r="U10" s="60">
        <v>1</v>
      </c>
    </row>
    <row r="11" spans="1:21" ht="15" customHeight="1" x14ac:dyDescent="0.25">
      <c r="A11" s="23"/>
      <c r="B11" s="25"/>
      <c r="C11" s="25"/>
      <c r="D11" s="25"/>
      <c r="E11" s="27"/>
      <c r="F11" s="33" t="s">
        <v>13</v>
      </c>
      <c r="G11" s="61">
        <f>100%-G10</f>
        <v>0.8</v>
      </c>
      <c r="H11" s="49">
        <f>100%-H10</f>
        <v>0.6</v>
      </c>
      <c r="I11" s="49">
        <f>100%-I10</f>
        <v>0.4</v>
      </c>
      <c r="J11" s="49">
        <f>100%-J10</f>
        <v>0.19999999999999996</v>
      </c>
      <c r="K11" s="62">
        <f>100%-K10</f>
        <v>0</v>
      </c>
      <c r="L11" s="61">
        <f>100%-L10</f>
        <v>0.8</v>
      </c>
      <c r="M11" s="49">
        <f>100%-M10</f>
        <v>0.6</v>
      </c>
      <c r="N11" s="49">
        <f>100%-N10</f>
        <v>0.4</v>
      </c>
      <c r="O11" s="49">
        <f>100%-O10</f>
        <v>0.19999999999999996</v>
      </c>
      <c r="P11" s="62">
        <f>100%-P10</f>
        <v>0</v>
      </c>
      <c r="Q11" s="61">
        <f>100%-Q10</f>
        <v>0.8</v>
      </c>
      <c r="R11" s="49">
        <f>100%-R10</f>
        <v>0.6</v>
      </c>
      <c r="S11" s="49">
        <f>100%-S10</f>
        <v>0.4</v>
      </c>
      <c r="T11" s="49">
        <f>100%-T10</f>
        <v>0.19999999999999996</v>
      </c>
      <c r="U11" s="62">
        <f>100%-U10</f>
        <v>0</v>
      </c>
    </row>
    <row r="12" spans="1:21" ht="15" customHeight="1" x14ac:dyDescent="0.25">
      <c r="A12" s="23"/>
      <c r="B12" s="25"/>
      <c r="C12" s="25"/>
      <c r="D12" s="25"/>
      <c r="E12" s="27"/>
      <c r="F12" s="33" t="s">
        <v>10</v>
      </c>
      <c r="G12" s="71">
        <v>3.8199999999999998E-2</v>
      </c>
      <c r="H12" s="70">
        <v>3.8199999999999998E-2</v>
      </c>
      <c r="I12" s="70">
        <v>3.8199999999999998E-2</v>
      </c>
      <c r="J12" s="70">
        <v>3.8199999999999998E-2</v>
      </c>
      <c r="K12" s="72">
        <v>3.8199999999999998E-2</v>
      </c>
      <c r="L12" s="71">
        <v>3.8199999999999998E-2</v>
      </c>
      <c r="M12" s="70">
        <v>3.8199999999999998E-2</v>
      </c>
      <c r="N12" s="70">
        <v>3.8199999999999998E-2</v>
      </c>
      <c r="O12" s="70">
        <v>3.8199999999999998E-2</v>
      </c>
      <c r="P12" s="72">
        <v>3.8199999999999998E-2</v>
      </c>
      <c r="Q12" s="71">
        <v>3.8199999999999998E-2</v>
      </c>
      <c r="R12" s="70">
        <v>3.8199999999999998E-2</v>
      </c>
      <c r="S12" s="70">
        <v>3.8199999999999998E-2</v>
      </c>
      <c r="T12" s="70">
        <v>3.8199999999999998E-2</v>
      </c>
      <c r="U12" s="72">
        <v>3.8199999999999998E-2</v>
      </c>
    </row>
    <row r="13" spans="1:21" ht="15.75" customHeight="1" thickBot="1" x14ac:dyDescent="0.3">
      <c r="A13" s="23"/>
      <c r="B13" s="25"/>
      <c r="C13" s="25"/>
      <c r="D13" s="25"/>
      <c r="E13" s="27"/>
      <c r="F13" s="34" t="s">
        <v>14</v>
      </c>
      <c r="G13" s="63">
        <f>G9/G12</f>
        <v>19.633507853403142</v>
      </c>
      <c r="H13" s="50">
        <f>H9/H12</f>
        <v>19.633507853403142</v>
      </c>
      <c r="I13" s="50">
        <f>I9/I12</f>
        <v>19.633507853403142</v>
      </c>
      <c r="J13" s="50">
        <f>J9/J12</f>
        <v>19.633507853403142</v>
      </c>
      <c r="K13" s="64">
        <f>K9/K12</f>
        <v>19.633507853403142</v>
      </c>
      <c r="L13" s="63">
        <f>L9/L12</f>
        <v>13.089005235602095</v>
      </c>
      <c r="M13" s="50">
        <f>M9/M12</f>
        <v>13.089005235602095</v>
      </c>
      <c r="N13" s="50">
        <f>N9/N12</f>
        <v>13.089005235602095</v>
      </c>
      <c r="O13" s="50">
        <f>O9/O12</f>
        <v>13.089005235602095</v>
      </c>
      <c r="P13" s="64">
        <f>P9/P12</f>
        <v>13.089005235602095</v>
      </c>
      <c r="Q13" s="63">
        <f>Q9/Q12</f>
        <v>6.5445026178010473</v>
      </c>
      <c r="R13" s="50">
        <f>R9/R12</f>
        <v>6.5445026178010473</v>
      </c>
      <c r="S13" s="50">
        <f>S9/S12</f>
        <v>6.5445026178010473</v>
      </c>
      <c r="T13" s="50">
        <f>T9/T12</f>
        <v>6.5445026178010473</v>
      </c>
      <c r="U13" s="64">
        <f>U9/U12</f>
        <v>6.5445026178010473</v>
      </c>
    </row>
    <row r="14" spans="1:21" x14ac:dyDescent="0.25">
      <c r="A14" s="23"/>
      <c r="B14" s="25"/>
      <c r="C14" s="25"/>
      <c r="D14" s="25"/>
      <c r="E14" s="27"/>
      <c r="F14" s="32" t="s">
        <v>15</v>
      </c>
      <c r="G14" s="32">
        <f>MIN(G17:G106)</f>
        <v>30</v>
      </c>
      <c r="H14" s="33">
        <f>MIN(H17:H106)</f>
        <v>25</v>
      </c>
      <c r="I14" s="33">
        <f>MIN(I17:I106)</f>
        <v>22</v>
      </c>
      <c r="J14" s="33">
        <f>MIN(J17:J106)</f>
        <v>19</v>
      </c>
      <c r="K14" s="65">
        <f>MIN(K17:K106)</f>
        <v>18</v>
      </c>
      <c r="L14" s="32">
        <f>MIN(L17:L106)</f>
        <v>14</v>
      </c>
      <c r="M14" s="33">
        <f>MIN(M17:M106)</f>
        <v>13</v>
      </c>
      <c r="N14" s="33">
        <f>MIN(N17:N106)</f>
        <v>12</v>
      </c>
      <c r="O14" s="33">
        <f>MIN(O17:O106)</f>
        <v>11</v>
      </c>
      <c r="P14" s="65">
        <f>MIN(P17:P106)</f>
        <v>10</v>
      </c>
      <c r="Q14" s="32">
        <f>MIN(Q17:Q106)</f>
        <v>5</v>
      </c>
      <c r="R14" s="33">
        <f>MIN(R17:R106)</f>
        <v>5</v>
      </c>
      <c r="S14" s="33">
        <f>MIN(S17:S106)</f>
        <v>5</v>
      </c>
      <c r="T14" s="33">
        <f>MIN(T17:T106)</f>
        <v>5</v>
      </c>
      <c r="U14" s="65">
        <f>MIN(U17:U106)</f>
        <v>4</v>
      </c>
    </row>
    <row r="15" spans="1:21" ht="15.75" thickBot="1" x14ac:dyDescent="0.3">
      <c r="A15" s="23"/>
      <c r="B15" s="25"/>
      <c r="C15" s="25"/>
      <c r="D15" s="25"/>
      <c r="E15" s="27"/>
      <c r="F15" s="32" t="s">
        <v>16</v>
      </c>
      <c r="G15" s="32">
        <f>MAX(G17:G106)</f>
        <v>57</v>
      </c>
      <c r="H15" s="33">
        <f>MAX(H17:H106)</f>
        <v>49</v>
      </c>
      <c r="I15" s="33">
        <f>MAX(I17:I106)</f>
        <v>41</v>
      </c>
      <c r="J15" s="33">
        <f>MAX(J17:J106)</f>
        <v>37</v>
      </c>
      <c r="K15" s="65">
        <f>MAX(K17:K106)</f>
        <v>35</v>
      </c>
      <c r="L15" s="32">
        <f>MAX(L17:L106)</f>
        <v>29</v>
      </c>
      <c r="M15" s="33">
        <f>MAX(M17:M106)</f>
        <v>28</v>
      </c>
      <c r="N15" s="33">
        <f>MAX(N17:N106)</f>
        <v>26</v>
      </c>
      <c r="O15" s="33">
        <f>MAX(O17:O106)</f>
        <v>24</v>
      </c>
      <c r="P15" s="65">
        <f>MAX(P17:P106)</f>
        <v>24</v>
      </c>
      <c r="Q15" s="32">
        <f>MAX(Q17:Q106)</f>
        <v>11</v>
      </c>
      <c r="R15" s="33">
        <f>MAX(R17:R106)</f>
        <v>10</v>
      </c>
      <c r="S15" s="33">
        <f>MAX(S17:S106)</f>
        <v>10</v>
      </c>
      <c r="T15" s="33">
        <f>MAX(T17:T106)</f>
        <v>10</v>
      </c>
      <c r="U15" s="65">
        <f>MAX(U17:U106)</f>
        <v>10</v>
      </c>
    </row>
    <row r="16" spans="1:21" ht="15.75" thickBot="1" x14ac:dyDescent="0.3">
      <c r="A16" s="24"/>
      <c r="B16" s="26"/>
      <c r="C16" s="26"/>
      <c r="D16" s="26"/>
      <c r="E16" s="28"/>
      <c r="F16" s="53" t="s">
        <v>17</v>
      </c>
      <c r="G16" s="51">
        <f t="shared" ref="G16:L16" si="0">AVERAGE(G17:G106)</f>
        <v>40.125</v>
      </c>
      <c r="H16" s="51">
        <f t="shared" si="0"/>
        <v>35.362068965517238</v>
      </c>
      <c r="I16" s="51">
        <f t="shared" si="0"/>
        <v>30.95</v>
      </c>
      <c r="J16" s="51">
        <f t="shared" si="0"/>
        <v>27.64516129032258</v>
      </c>
      <c r="K16" s="51">
        <f t="shared" si="0"/>
        <v>25.634920634920636</v>
      </c>
      <c r="L16" s="51">
        <f>AVERAGE(L17:L106)</f>
        <v>19.929577464788732</v>
      </c>
      <c r="M16" s="51">
        <f t="shared" ref="M16" si="1">AVERAGE(M17:M106)</f>
        <v>18.150684931506849</v>
      </c>
      <c r="N16" s="51">
        <f t="shared" ref="N16" si="2">AVERAGE(N17:N106)</f>
        <v>16.786666666666665</v>
      </c>
      <c r="O16" s="51">
        <f t="shared" ref="O16" si="3">AVERAGE(O17:O106)</f>
        <v>15.842105263157896</v>
      </c>
      <c r="P16" s="51">
        <f t="shared" ref="P16" si="4">AVERAGE(P17:P106)</f>
        <v>15.103896103896103</v>
      </c>
      <c r="Q16" s="51">
        <f>AVERAGE(Q17:Q106)</f>
        <v>7.5301204819277112</v>
      </c>
      <c r="R16" s="51">
        <f t="shared" ref="R16" si="5">AVERAGE(R17:R106)</f>
        <v>7.2289156626506026</v>
      </c>
      <c r="S16" s="51">
        <f t="shared" ref="S16" si="6">AVERAGE(S17:S106)</f>
        <v>6.9285714285714288</v>
      </c>
      <c r="T16" s="51">
        <f t="shared" ref="T16" si="7">AVERAGE(T17:T106)</f>
        <v>6.8452380952380949</v>
      </c>
      <c r="U16" s="51">
        <f t="shared" ref="U16" si="8">AVERAGE(U17:U106)</f>
        <v>6.6785714285714288</v>
      </c>
    </row>
    <row r="17" spans="1:21" ht="15.75" x14ac:dyDescent="0.25">
      <c r="A17" s="10">
        <v>1928</v>
      </c>
      <c r="B17" s="7">
        <v>0.43809999999999999</v>
      </c>
      <c r="C17" s="7">
        <v>3.0800000000000001E-2</v>
      </c>
      <c r="D17" s="7">
        <v>8.3999999999999995E-3</v>
      </c>
      <c r="E17" s="11">
        <v>-1.7</v>
      </c>
      <c r="G17">
        <v>57</v>
      </c>
      <c r="H17">
        <v>35</v>
      </c>
      <c r="I17">
        <v>30</v>
      </c>
      <c r="J17">
        <v>27</v>
      </c>
      <c r="K17">
        <v>26</v>
      </c>
      <c r="L17">
        <v>24</v>
      </c>
      <c r="M17">
        <v>22</v>
      </c>
      <c r="N17">
        <v>17</v>
      </c>
      <c r="O17">
        <v>17</v>
      </c>
      <c r="P17">
        <v>17</v>
      </c>
      <c r="Q17">
        <v>6</v>
      </c>
      <c r="R17">
        <v>7</v>
      </c>
      <c r="S17">
        <v>7</v>
      </c>
      <c r="T17">
        <v>7</v>
      </c>
      <c r="U17">
        <v>7</v>
      </c>
    </row>
    <row r="18" spans="1:21" ht="15.75" x14ac:dyDescent="0.25">
      <c r="A18" s="12">
        <v>1929</v>
      </c>
      <c r="B18" s="2">
        <v>-8.3000000000000004E-2</v>
      </c>
      <c r="C18" s="2">
        <v>3.1600000000000003E-2</v>
      </c>
      <c r="D18" s="2">
        <v>4.2000000000000003E-2</v>
      </c>
      <c r="E18" s="13">
        <v>0</v>
      </c>
      <c r="G18">
        <v>56</v>
      </c>
      <c r="H18">
        <v>35</v>
      </c>
      <c r="I18">
        <v>29</v>
      </c>
      <c r="J18">
        <v>26</v>
      </c>
      <c r="K18">
        <v>25</v>
      </c>
      <c r="L18">
        <v>24</v>
      </c>
      <c r="M18">
        <v>21</v>
      </c>
      <c r="N18">
        <v>16</v>
      </c>
      <c r="O18">
        <v>16</v>
      </c>
      <c r="P18">
        <v>16</v>
      </c>
      <c r="Q18">
        <v>6</v>
      </c>
      <c r="R18">
        <v>6</v>
      </c>
      <c r="S18">
        <v>6</v>
      </c>
      <c r="T18">
        <v>6</v>
      </c>
      <c r="U18">
        <v>6</v>
      </c>
    </row>
    <row r="19" spans="1:21" ht="15.75" x14ac:dyDescent="0.25">
      <c r="A19" s="14">
        <v>1930</v>
      </c>
      <c r="B19" s="1">
        <v>-0.25119999999999998</v>
      </c>
      <c r="C19" s="1">
        <v>4.5499999999999999E-2</v>
      </c>
      <c r="D19" s="1">
        <v>4.5400000000000003E-2</v>
      </c>
      <c r="E19" s="15">
        <v>-2.2999999999999998</v>
      </c>
      <c r="G19">
        <v>55</v>
      </c>
      <c r="H19">
        <v>34</v>
      </c>
      <c r="I19">
        <v>29</v>
      </c>
      <c r="J19">
        <v>25</v>
      </c>
      <c r="K19">
        <v>24</v>
      </c>
      <c r="L19">
        <v>24</v>
      </c>
      <c r="M19">
        <v>21</v>
      </c>
      <c r="N19">
        <v>20</v>
      </c>
      <c r="O19">
        <v>15</v>
      </c>
      <c r="P19">
        <v>15</v>
      </c>
      <c r="Q19">
        <v>6</v>
      </c>
      <c r="R19">
        <v>6</v>
      </c>
      <c r="S19">
        <v>6</v>
      </c>
      <c r="T19">
        <v>5</v>
      </c>
      <c r="U19">
        <v>5</v>
      </c>
    </row>
    <row r="20" spans="1:21" ht="15.75" x14ac:dyDescent="0.25">
      <c r="A20" s="12">
        <v>1931</v>
      </c>
      <c r="B20" s="2">
        <v>-0.43840000000000001</v>
      </c>
      <c r="C20" s="2">
        <v>2.3099999999999999E-2</v>
      </c>
      <c r="D20" s="2">
        <v>-2.5600000000000001E-2</v>
      </c>
      <c r="E20" s="13">
        <v>-9</v>
      </c>
      <c r="G20">
        <v>55</v>
      </c>
      <c r="H20">
        <v>34</v>
      </c>
      <c r="I20">
        <v>29</v>
      </c>
      <c r="J20">
        <v>24</v>
      </c>
      <c r="K20">
        <v>23</v>
      </c>
      <c r="L20">
        <v>23</v>
      </c>
      <c r="M20">
        <v>21</v>
      </c>
      <c r="N20">
        <v>19</v>
      </c>
      <c r="O20">
        <v>19</v>
      </c>
      <c r="P20">
        <v>14</v>
      </c>
      <c r="Q20">
        <v>7</v>
      </c>
      <c r="R20">
        <v>7</v>
      </c>
      <c r="S20">
        <v>5</v>
      </c>
      <c r="T20">
        <v>5</v>
      </c>
      <c r="U20">
        <v>5</v>
      </c>
    </row>
    <row r="21" spans="1:21" ht="15.75" x14ac:dyDescent="0.25">
      <c r="A21" s="14">
        <v>1932</v>
      </c>
      <c r="B21" s="1">
        <v>-8.6400000000000005E-2</v>
      </c>
      <c r="C21" s="1">
        <v>1.0699999999999999E-2</v>
      </c>
      <c r="D21" s="1">
        <v>8.7900000000000006E-2</v>
      </c>
      <c r="E21" s="15">
        <v>-9.9</v>
      </c>
      <c r="G21">
        <v>54</v>
      </c>
      <c r="H21">
        <v>36</v>
      </c>
      <c r="I21">
        <v>29</v>
      </c>
      <c r="J21">
        <v>26</v>
      </c>
      <c r="K21">
        <v>23</v>
      </c>
      <c r="L21">
        <v>23</v>
      </c>
      <c r="M21">
        <v>21</v>
      </c>
      <c r="N21">
        <v>19</v>
      </c>
      <c r="O21">
        <v>18</v>
      </c>
      <c r="P21">
        <v>18</v>
      </c>
      <c r="Q21">
        <v>7</v>
      </c>
      <c r="R21">
        <v>7</v>
      </c>
      <c r="S21">
        <v>6</v>
      </c>
      <c r="T21">
        <v>6</v>
      </c>
      <c r="U21">
        <v>4</v>
      </c>
    </row>
    <row r="22" spans="1:21" ht="15.75" x14ac:dyDescent="0.25">
      <c r="A22" s="12">
        <v>1933</v>
      </c>
      <c r="B22" s="2">
        <v>0.49980000000000002</v>
      </c>
      <c r="C22" s="2">
        <v>9.5999999999999992E-3</v>
      </c>
      <c r="D22" s="2">
        <v>1.8599999999999998E-2</v>
      </c>
      <c r="E22" s="13">
        <v>-5.0999999999999996</v>
      </c>
      <c r="G22">
        <v>53</v>
      </c>
      <c r="H22">
        <v>39</v>
      </c>
      <c r="I22">
        <v>28</v>
      </c>
      <c r="J22">
        <v>25</v>
      </c>
      <c r="K22">
        <v>22</v>
      </c>
      <c r="L22">
        <v>22</v>
      </c>
      <c r="M22">
        <v>21</v>
      </c>
      <c r="N22">
        <v>19</v>
      </c>
      <c r="O22">
        <v>17</v>
      </c>
      <c r="P22">
        <v>17</v>
      </c>
      <c r="Q22">
        <v>7</v>
      </c>
      <c r="R22">
        <v>7</v>
      </c>
      <c r="S22">
        <v>7</v>
      </c>
      <c r="T22">
        <v>9</v>
      </c>
      <c r="U22">
        <v>9</v>
      </c>
    </row>
    <row r="23" spans="1:21" ht="15.75" x14ac:dyDescent="0.25">
      <c r="A23" s="14">
        <v>1934</v>
      </c>
      <c r="B23" s="1">
        <v>-1.1900000000000001E-2</v>
      </c>
      <c r="C23" s="1">
        <v>3.2000000000000002E-3</v>
      </c>
      <c r="D23" s="1">
        <v>7.9600000000000004E-2</v>
      </c>
      <c r="E23" s="15">
        <v>3.1</v>
      </c>
      <c r="G23">
        <v>52</v>
      </c>
      <c r="H23">
        <v>38</v>
      </c>
      <c r="I23">
        <v>29</v>
      </c>
      <c r="J23">
        <v>24</v>
      </c>
      <c r="K23">
        <v>21</v>
      </c>
      <c r="L23">
        <v>23</v>
      </c>
      <c r="M23">
        <v>20</v>
      </c>
      <c r="N23">
        <v>18</v>
      </c>
      <c r="O23">
        <v>17</v>
      </c>
      <c r="P23">
        <v>16</v>
      </c>
      <c r="Q23">
        <v>9</v>
      </c>
      <c r="R23">
        <v>9</v>
      </c>
      <c r="S23">
        <v>9</v>
      </c>
      <c r="T23">
        <v>9</v>
      </c>
      <c r="U23">
        <v>9</v>
      </c>
    </row>
    <row r="24" spans="1:21" ht="15.75" x14ac:dyDescent="0.25">
      <c r="A24" s="12">
        <v>1935</v>
      </c>
      <c r="B24" s="2">
        <v>0.46739999999999998</v>
      </c>
      <c r="C24" s="2">
        <v>1.8E-3</v>
      </c>
      <c r="D24" s="2">
        <v>4.4699999999999997E-2</v>
      </c>
      <c r="E24" s="13">
        <v>2.2000000000000002</v>
      </c>
      <c r="G24">
        <v>51</v>
      </c>
      <c r="H24">
        <v>49</v>
      </c>
      <c r="I24">
        <v>28</v>
      </c>
      <c r="J24">
        <v>24</v>
      </c>
      <c r="K24">
        <v>21</v>
      </c>
      <c r="L24">
        <v>23</v>
      </c>
      <c r="M24">
        <v>19</v>
      </c>
      <c r="N24">
        <v>18</v>
      </c>
      <c r="O24">
        <v>17</v>
      </c>
      <c r="P24">
        <v>16</v>
      </c>
      <c r="Q24">
        <v>9</v>
      </c>
      <c r="R24">
        <v>8</v>
      </c>
      <c r="S24">
        <v>8</v>
      </c>
      <c r="T24">
        <v>8</v>
      </c>
      <c r="U24">
        <v>8</v>
      </c>
    </row>
    <row r="25" spans="1:21" ht="15.75" x14ac:dyDescent="0.25">
      <c r="A25" s="14">
        <v>1936</v>
      </c>
      <c r="B25" s="1">
        <v>0.31940000000000002</v>
      </c>
      <c r="C25" s="1">
        <v>1.6999999999999999E-3</v>
      </c>
      <c r="D25" s="1">
        <v>5.0200000000000002E-2</v>
      </c>
      <c r="E25" s="15">
        <v>1.5</v>
      </c>
      <c r="G25">
        <v>50</v>
      </c>
      <c r="H25">
        <v>49</v>
      </c>
      <c r="I25">
        <v>28</v>
      </c>
      <c r="J25">
        <v>25</v>
      </c>
      <c r="K25">
        <v>22</v>
      </c>
      <c r="L25">
        <v>22</v>
      </c>
      <c r="M25">
        <v>18</v>
      </c>
      <c r="N25">
        <v>18</v>
      </c>
      <c r="O25">
        <v>16</v>
      </c>
      <c r="P25">
        <v>15</v>
      </c>
      <c r="Q25">
        <v>8</v>
      </c>
      <c r="R25">
        <v>8</v>
      </c>
      <c r="S25">
        <v>8</v>
      </c>
      <c r="T25">
        <v>8</v>
      </c>
      <c r="U25">
        <v>8</v>
      </c>
    </row>
    <row r="26" spans="1:21" ht="15.75" x14ac:dyDescent="0.25">
      <c r="A26" s="12">
        <v>1937</v>
      </c>
      <c r="B26" s="2">
        <v>-0.35339999999999999</v>
      </c>
      <c r="C26" s="2">
        <v>3.0000000000000001E-3</v>
      </c>
      <c r="D26" s="2">
        <v>1.38E-2</v>
      </c>
      <c r="E26" s="13">
        <v>3.6</v>
      </c>
      <c r="G26">
        <v>49</v>
      </c>
      <c r="H26">
        <v>48</v>
      </c>
      <c r="I26">
        <v>27</v>
      </c>
      <c r="J26">
        <v>24</v>
      </c>
      <c r="K26">
        <v>21</v>
      </c>
      <c r="L26">
        <v>22</v>
      </c>
      <c r="M26">
        <v>18</v>
      </c>
      <c r="N26">
        <v>17</v>
      </c>
      <c r="O26">
        <v>15</v>
      </c>
      <c r="P26">
        <v>14</v>
      </c>
      <c r="Q26">
        <v>8</v>
      </c>
      <c r="R26">
        <v>8</v>
      </c>
      <c r="S26">
        <v>7</v>
      </c>
      <c r="T26">
        <v>7</v>
      </c>
      <c r="U26">
        <v>7</v>
      </c>
    </row>
    <row r="27" spans="1:21" ht="15.75" x14ac:dyDescent="0.25">
      <c r="A27" s="14">
        <v>1938</v>
      </c>
      <c r="B27" s="1">
        <v>0.2928</v>
      </c>
      <c r="C27" s="1">
        <v>8.0000000000000004E-4</v>
      </c>
      <c r="D27" s="1">
        <v>4.2099999999999999E-2</v>
      </c>
      <c r="E27" s="15">
        <v>-2.1</v>
      </c>
      <c r="G27">
        <v>48</v>
      </c>
      <c r="H27">
        <v>47</v>
      </c>
      <c r="I27">
        <v>27</v>
      </c>
      <c r="J27">
        <v>23</v>
      </c>
      <c r="K27">
        <v>20</v>
      </c>
      <c r="L27">
        <v>22</v>
      </c>
      <c r="M27">
        <v>17</v>
      </c>
      <c r="N27">
        <v>16</v>
      </c>
      <c r="O27">
        <v>16</v>
      </c>
      <c r="P27">
        <v>14</v>
      </c>
      <c r="Q27">
        <v>10</v>
      </c>
      <c r="R27">
        <v>7</v>
      </c>
      <c r="S27">
        <v>7</v>
      </c>
      <c r="T27">
        <v>7</v>
      </c>
      <c r="U27">
        <v>7</v>
      </c>
    </row>
    <row r="28" spans="1:21" ht="15.75" x14ac:dyDescent="0.25">
      <c r="A28" s="12">
        <v>1939</v>
      </c>
      <c r="B28" s="2">
        <v>-1.0999999999999999E-2</v>
      </c>
      <c r="C28" s="2">
        <v>4.0000000000000002E-4</v>
      </c>
      <c r="D28" s="2">
        <v>4.41E-2</v>
      </c>
      <c r="E28" s="13">
        <v>-1.4</v>
      </c>
      <c r="G28">
        <v>49</v>
      </c>
      <c r="H28">
        <v>46</v>
      </c>
      <c r="I28">
        <v>28</v>
      </c>
      <c r="J28">
        <v>22</v>
      </c>
      <c r="K28">
        <v>20</v>
      </c>
      <c r="L28">
        <v>21</v>
      </c>
      <c r="M28">
        <v>17</v>
      </c>
      <c r="N28">
        <v>15</v>
      </c>
      <c r="O28">
        <v>15</v>
      </c>
      <c r="P28">
        <v>13</v>
      </c>
      <c r="Q28">
        <v>10</v>
      </c>
      <c r="R28">
        <v>9</v>
      </c>
      <c r="S28">
        <v>6</v>
      </c>
      <c r="T28">
        <v>6</v>
      </c>
      <c r="U28">
        <v>6</v>
      </c>
    </row>
    <row r="29" spans="1:21" ht="15.75" x14ac:dyDescent="0.25">
      <c r="A29" s="14">
        <v>1940</v>
      </c>
      <c r="B29" s="1">
        <v>-0.1067</v>
      </c>
      <c r="C29" s="1">
        <v>2.9999999999999997E-4</v>
      </c>
      <c r="D29" s="1">
        <v>5.3999999999999999E-2</v>
      </c>
      <c r="E29" s="15">
        <v>0.7</v>
      </c>
      <c r="G29">
        <v>49</v>
      </c>
      <c r="H29">
        <v>45</v>
      </c>
      <c r="I29">
        <v>28</v>
      </c>
      <c r="J29">
        <v>23</v>
      </c>
      <c r="K29">
        <v>19</v>
      </c>
      <c r="L29">
        <v>21</v>
      </c>
      <c r="M29">
        <v>18</v>
      </c>
      <c r="N29">
        <v>15</v>
      </c>
      <c r="O29">
        <v>14</v>
      </c>
      <c r="P29">
        <v>14</v>
      </c>
      <c r="Q29">
        <v>9</v>
      </c>
      <c r="R29">
        <v>9</v>
      </c>
      <c r="S29">
        <v>9</v>
      </c>
      <c r="T29">
        <v>8</v>
      </c>
      <c r="U29">
        <v>5</v>
      </c>
    </row>
    <row r="30" spans="1:21" ht="15.75" x14ac:dyDescent="0.25">
      <c r="A30" s="12">
        <v>1941</v>
      </c>
      <c r="B30" s="2">
        <v>-0.12770000000000001</v>
      </c>
      <c r="C30" s="2">
        <v>8.0000000000000004E-4</v>
      </c>
      <c r="D30" s="2">
        <v>-2.0199999999999999E-2</v>
      </c>
      <c r="E30" s="13">
        <v>5</v>
      </c>
      <c r="G30">
        <v>48</v>
      </c>
      <c r="H30">
        <v>44</v>
      </c>
      <c r="I30">
        <v>31</v>
      </c>
      <c r="J30">
        <v>23</v>
      </c>
      <c r="K30">
        <v>20</v>
      </c>
      <c r="L30">
        <v>20</v>
      </c>
      <c r="M30">
        <v>17</v>
      </c>
      <c r="N30">
        <v>14</v>
      </c>
      <c r="O30">
        <v>13</v>
      </c>
      <c r="P30">
        <v>13</v>
      </c>
      <c r="Q30">
        <v>9</v>
      </c>
      <c r="R30">
        <v>8</v>
      </c>
      <c r="S30">
        <v>8</v>
      </c>
      <c r="T30">
        <v>8</v>
      </c>
      <c r="U30">
        <v>8</v>
      </c>
    </row>
    <row r="31" spans="1:21" ht="15.75" x14ac:dyDescent="0.25">
      <c r="A31" s="14">
        <v>1942</v>
      </c>
      <c r="B31" s="1">
        <v>0.19170000000000001</v>
      </c>
      <c r="C31" s="1">
        <v>3.3999999999999998E-3</v>
      </c>
      <c r="D31" s="1">
        <v>2.29E-2</v>
      </c>
      <c r="E31" s="15">
        <v>10.9</v>
      </c>
      <c r="G31">
        <v>47</v>
      </c>
      <c r="H31">
        <v>43</v>
      </c>
      <c r="I31">
        <v>41</v>
      </c>
      <c r="J31">
        <v>22</v>
      </c>
      <c r="K31">
        <v>19</v>
      </c>
      <c r="L31">
        <v>20</v>
      </c>
      <c r="M31">
        <v>16</v>
      </c>
      <c r="N31">
        <v>13</v>
      </c>
      <c r="O31">
        <v>12</v>
      </c>
      <c r="P31">
        <v>12</v>
      </c>
      <c r="Q31">
        <v>8</v>
      </c>
      <c r="R31">
        <v>8</v>
      </c>
      <c r="S31">
        <v>8</v>
      </c>
      <c r="T31">
        <v>7</v>
      </c>
      <c r="U31">
        <v>7</v>
      </c>
    </row>
    <row r="32" spans="1:21" ht="15.75" x14ac:dyDescent="0.25">
      <c r="A32" s="12">
        <v>1943</v>
      </c>
      <c r="B32" s="2">
        <v>0.25059999999999999</v>
      </c>
      <c r="C32" s="2">
        <v>3.8E-3</v>
      </c>
      <c r="D32" s="2">
        <v>2.4899999999999999E-2</v>
      </c>
      <c r="E32" s="13">
        <v>6.1</v>
      </c>
      <c r="G32">
        <v>46</v>
      </c>
      <c r="H32">
        <v>43</v>
      </c>
      <c r="I32">
        <v>41</v>
      </c>
      <c r="J32">
        <v>22</v>
      </c>
      <c r="K32">
        <v>20</v>
      </c>
      <c r="L32">
        <v>20</v>
      </c>
      <c r="M32">
        <v>17</v>
      </c>
      <c r="N32">
        <v>15</v>
      </c>
      <c r="O32">
        <v>12</v>
      </c>
      <c r="P32">
        <v>11</v>
      </c>
      <c r="Q32">
        <v>9</v>
      </c>
      <c r="R32">
        <v>8</v>
      </c>
      <c r="S32">
        <v>7</v>
      </c>
      <c r="T32">
        <v>7</v>
      </c>
      <c r="U32">
        <v>7</v>
      </c>
    </row>
    <row r="33" spans="1:21" ht="15.75" x14ac:dyDescent="0.25">
      <c r="A33" s="14">
        <v>1944</v>
      </c>
      <c r="B33" s="1">
        <v>0.1903</v>
      </c>
      <c r="C33" s="1">
        <v>3.8E-3</v>
      </c>
      <c r="D33" s="1">
        <v>2.58E-2</v>
      </c>
      <c r="E33" s="15">
        <v>1.7</v>
      </c>
      <c r="G33">
        <v>45</v>
      </c>
      <c r="H33">
        <v>42</v>
      </c>
      <c r="I33">
        <v>41</v>
      </c>
      <c r="J33">
        <v>24</v>
      </c>
      <c r="K33">
        <v>20</v>
      </c>
      <c r="L33">
        <v>19</v>
      </c>
      <c r="M33">
        <v>16</v>
      </c>
      <c r="N33">
        <v>14</v>
      </c>
      <c r="O33">
        <v>11</v>
      </c>
      <c r="P33">
        <v>11</v>
      </c>
      <c r="Q33">
        <v>8</v>
      </c>
      <c r="R33">
        <v>8</v>
      </c>
      <c r="S33">
        <v>7</v>
      </c>
      <c r="T33">
        <v>7</v>
      </c>
      <c r="U33">
        <v>6</v>
      </c>
    </row>
    <row r="34" spans="1:21" ht="15.75" x14ac:dyDescent="0.25">
      <c r="A34" s="12">
        <v>1945</v>
      </c>
      <c r="B34" s="2">
        <v>0.35820000000000002</v>
      </c>
      <c r="C34" s="2">
        <v>3.8E-3</v>
      </c>
      <c r="D34" s="2">
        <v>3.7999999999999999E-2</v>
      </c>
      <c r="E34" s="13">
        <v>2.2999999999999998</v>
      </c>
      <c r="G34">
        <v>44</v>
      </c>
      <c r="H34">
        <v>41</v>
      </c>
      <c r="I34">
        <v>40</v>
      </c>
      <c r="J34">
        <v>27</v>
      </c>
      <c r="K34">
        <v>20</v>
      </c>
      <c r="L34">
        <v>19</v>
      </c>
      <c r="M34">
        <v>16</v>
      </c>
      <c r="N34">
        <v>14</v>
      </c>
      <c r="O34">
        <v>13</v>
      </c>
      <c r="P34">
        <v>10</v>
      </c>
      <c r="Q34">
        <v>8</v>
      </c>
      <c r="R34">
        <v>7</v>
      </c>
      <c r="S34">
        <v>7</v>
      </c>
      <c r="T34">
        <v>6</v>
      </c>
      <c r="U34">
        <v>6</v>
      </c>
    </row>
    <row r="35" spans="1:21" ht="15.75" x14ac:dyDescent="0.25">
      <c r="A35" s="14">
        <v>1946</v>
      </c>
      <c r="B35" s="1">
        <v>-8.43E-2</v>
      </c>
      <c r="C35" s="1">
        <v>3.8E-3</v>
      </c>
      <c r="D35" s="1">
        <v>3.1300000000000001E-2</v>
      </c>
      <c r="E35" s="15">
        <v>8.3000000000000007</v>
      </c>
      <c r="G35">
        <v>45</v>
      </c>
      <c r="H35">
        <v>40</v>
      </c>
      <c r="I35">
        <v>39</v>
      </c>
      <c r="J35">
        <v>26</v>
      </c>
      <c r="K35">
        <v>19</v>
      </c>
      <c r="L35">
        <v>19</v>
      </c>
      <c r="M35">
        <v>15</v>
      </c>
      <c r="N35">
        <v>13</v>
      </c>
      <c r="O35">
        <v>12</v>
      </c>
      <c r="P35">
        <v>10</v>
      </c>
      <c r="Q35">
        <v>8</v>
      </c>
      <c r="R35">
        <v>7</v>
      </c>
      <c r="S35">
        <v>6</v>
      </c>
      <c r="T35">
        <v>6</v>
      </c>
      <c r="U35">
        <v>6</v>
      </c>
    </row>
    <row r="36" spans="1:21" ht="15.75" x14ac:dyDescent="0.25">
      <c r="A36" s="12">
        <v>1947</v>
      </c>
      <c r="B36" s="2">
        <v>5.1999999999999998E-2</v>
      </c>
      <c r="C36" s="2">
        <v>5.7000000000000002E-3</v>
      </c>
      <c r="D36" s="2">
        <v>9.1999999999999998E-3</v>
      </c>
      <c r="E36" s="13">
        <v>14.4</v>
      </c>
      <c r="G36">
        <v>44</v>
      </c>
      <c r="H36">
        <v>41</v>
      </c>
      <c r="I36">
        <v>38</v>
      </c>
      <c r="J36">
        <v>37</v>
      </c>
      <c r="K36">
        <v>21</v>
      </c>
      <c r="L36">
        <v>19</v>
      </c>
      <c r="M36">
        <v>16</v>
      </c>
      <c r="N36">
        <v>14</v>
      </c>
      <c r="O36">
        <v>11</v>
      </c>
      <c r="P36">
        <v>11</v>
      </c>
      <c r="Q36">
        <v>7</v>
      </c>
      <c r="R36">
        <v>7</v>
      </c>
      <c r="S36">
        <v>7</v>
      </c>
      <c r="T36">
        <v>6</v>
      </c>
      <c r="U36">
        <v>5</v>
      </c>
    </row>
    <row r="37" spans="1:21" ht="15.75" x14ac:dyDescent="0.25">
      <c r="A37" s="14">
        <v>1948</v>
      </c>
      <c r="B37" s="1">
        <v>5.7000000000000002E-2</v>
      </c>
      <c r="C37" s="1">
        <v>1.0200000000000001E-2</v>
      </c>
      <c r="D37" s="1">
        <v>1.95E-2</v>
      </c>
      <c r="E37" s="15">
        <v>8.1</v>
      </c>
      <c r="G37">
        <v>43</v>
      </c>
      <c r="H37">
        <v>41</v>
      </c>
      <c r="I37">
        <v>38</v>
      </c>
      <c r="J37">
        <v>37</v>
      </c>
      <c r="K37">
        <v>24</v>
      </c>
      <c r="L37">
        <v>20</v>
      </c>
      <c r="M37">
        <v>16</v>
      </c>
      <c r="N37">
        <v>13</v>
      </c>
      <c r="O37">
        <v>12</v>
      </c>
      <c r="P37">
        <v>10</v>
      </c>
      <c r="Q37">
        <v>7</v>
      </c>
      <c r="R37">
        <v>6</v>
      </c>
      <c r="S37">
        <v>6</v>
      </c>
      <c r="T37">
        <v>6</v>
      </c>
      <c r="U37">
        <v>6</v>
      </c>
    </row>
    <row r="38" spans="1:21" ht="15.75" x14ac:dyDescent="0.25">
      <c r="A38" s="12">
        <v>1949</v>
      </c>
      <c r="B38" s="2">
        <v>0.183</v>
      </c>
      <c r="C38" s="2">
        <v>1.0999999999999999E-2</v>
      </c>
      <c r="D38" s="2">
        <v>4.6600000000000003E-2</v>
      </c>
      <c r="E38" s="13">
        <v>-1.2</v>
      </c>
      <c r="G38">
        <v>42</v>
      </c>
      <c r="H38">
        <v>40</v>
      </c>
      <c r="I38">
        <v>37</v>
      </c>
      <c r="J38">
        <v>36</v>
      </c>
      <c r="K38">
        <v>35</v>
      </c>
      <c r="L38">
        <v>22</v>
      </c>
      <c r="M38">
        <v>16</v>
      </c>
      <c r="N38">
        <v>14</v>
      </c>
      <c r="O38">
        <v>12</v>
      </c>
      <c r="P38">
        <v>11</v>
      </c>
      <c r="Q38">
        <v>7</v>
      </c>
      <c r="R38">
        <v>6</v>
      </c>
      <c r="S38">
        <v>6</v>
      </c>
      <c r="T38">
        <v>5</v>
      </c>
      <c r="U38">
        <v>5</v>
      </c>
    </row>
    <row r="39" spans="1:21" ht="15.75" x14ac:dyDescent="0.25">
      <c r="A39" s="14">
        <v>1950</v>
      </c>
      <c r="B39" s="1">
        <v>0.30809999999999998</v>
      </c>
      <c r="C39" s="1">
        <v>1.17E-2</v>
      </c>
      <c r="D39" s="1">
        <v>4.3E-3</v>
      </c>
      <c r="E39" s="15">
        <v>1.3</v>
      </c>
      <c r="G39">
        <v>42</v>
      </c>
      <c r="H39">
        <v>39</v>
      </c>
      <c r="I39">
        <v>38</v>
      </c>
      <c r="J39">
        <v>36</v>
      </c>
      <c r="K39">
        <v>35</v>
      </c>
      <c r="L39">
        <v>21</v>
      </c>
      <c r="M39">
        <v>17</v>
      </c>
      <c r="N39">
        <v>14</v>
      </c>
      <c r="O39">
        <v>13</v>
      </c>
      <c r="P39">
        <v>11</v>
      </c>
      <c r="Q39">
        <v>7</v>
      </c>
      <c r="R39">
        <v>6</v>
      </c>
      <c r="S39">
        <v>5</v>
      </c>
      <c r="T39">
        <v>5</v>
      </c>
      <c r="U39">
        <v>5</v>
      </c>
    </row>
    <row r="40" spans="1:21" ht="15.75" x14ac:dyDescent="0.25">
      <c r="A40" s="12">
        <v>1951</v>
      </c>
      <c r="B40" s="2">
        <v>0.23680000000000001</v>
      </c>
      <c r="C40" s="2">
        <v>1.4800000000000001E-2</v>
      </c>
      <c r="D40" s="2">
        <v>-3.0000000000000001E-3</v>
      </c>
      <c r="E40" s="13">
        <v>7.9</v>
      </c>
      <c r="G40">
        <v>41</v>
      </c>
      <c r="H40">
        <v>38</v>
      </c>
      <c r="I40">
        <v>37</v>
      </c>
      <c r="J40">
        <v>35</v>
      </c>
      <c r="K40">
        <v>34</v>
      </c>
      <c r="L40">
        <v>21</v>
      </c>
      <c r="M40">
        <v>17</v>
      </c>
      <c r="N40">
        <v>14</v>
      </c>
      <c r="O40">
        <v>13</v>
      </c>
      <c r="P40">
        <v>12</v>
      </c>
      <c r="Q40">
        <v>7</v>
      </c>
      <c r="R40">
        <v>7</v>
      </c>
      <c r="S40">
        <v>7</v>
      </c>
      <c r="T40">
        <v>5</v>
      </c>
      <c r="U40">
        <v>5</v>
      </c>
    </row>
    <row r="41" spans="1:21" ht="15.75" x14ac:dyDescent="0.25">
      <c r="A41" s="14">
        <v>1952</v>
      </c>
      <c r="B41" s="1">
        <v>0.18149999999999999</v>
      </c>
      <c r="C41" s="1">
        <v>1.67E-2</v>
      </c>
      <c r="D41" s="1">
        <v>2.2700000000000001E-2</v>
      </c>
      <c r="E41" s="15">
        <v>1.9</v>
      </c>
      <c r="G41">
        <v>41</v>
      </c>
      <c r="H41">
        <v>39</v>
      </c>
      <c r="I41">
        <v>37</v>
      </c>
      <c r="J41">
        <v>35</v>
      </c>
      <c r="K41">
        <v>34</v>
      </c>
      <c r="L41">
        <v>24</v>
      </c>
      <c r="M41">
        <v>19</v>
      </c>
      <c r="N41">
        <v>15</v>
      </c>
      <c r="O41">
        <v>13</v>
      </c>
      <c r="P41">
        <v>12</v>
      </c>
      <c r="Q41">
        <v>8</v>
      </c>
      <c r="R41">
        <v>7</v>
      </c>
      <c r="S41">
        <v>6</v>
      </c>
      <c r="T41">
        <v>6</v>
      </c>
      <c r="U41">
        <v>6</v>
      </c>
    </row>
    <row r="42" spans="1:21" ht="15.75" x14ac:dyDescent="0.25">
      <c r="A42" s="12">
        <v>1953</v>
      </c>
      <c r="B42" s="2">
        <v>-1.21E-2</v>
      </c>
      <c r="C42" s="2">
        <v>1.89E-2</v>
      </c>
      <c r="D42" s="2">
        <v>4.1399999999999999E-2</v>
      </c>
      <c r="E42" s="13">
        <v>0.8</v>
      </c>
      <c r="G42">
        <v>40</v>
      </c>
      <c r="H42">
        <v>38</v>
      </c>
      <c r="I42">
        <v>36</v>
      </c>
      <c r="J42">
        <v>35</v>
      </c>
      <c r="K42">
        <v>33</v>
      </c>
      <c r="L42">
        <v>29</v>
      </c>
      <c r="M42">
        <v>19</v>
      </c>
      <c r="N42">
        <v>18</v>
      </c>
      <c r="O42">
        <v>14</v>
      </c>
      <c r="P42">
        <v>12</v>
      </c>
      <c r="Q42">
        <v>7</v>
      </c>
      <c r="R42">
        <v>7</v>
      </c>
      <c r="S42">
        <v>6</v>
      </c>
      <c r="T42">
        <v>6</v>
      </c>
      <c r="U42">
        <v>5</v>
      </c>
    </row>
    <row r="43" spans="1:21" ht="15.75" x14ac:dyDescent="0.25">
      <c r="A43" s="14">
        <v>1954</v>
      </c>
      <c r="B43" s="1">
        <v>0.52559999999999996</v>
      </c>
      <c r="C43" s="1">
        <v>9.5999999999999992E-3</v>
      </c>
      <c r="D43" s="1">
        <v>3.2899999999999999E-2</v>
      </c>
      <c r="E43" s="15">
        <v>0.7</v>
      </c>
      <c r="G43">
        <v>39</v>
      </c>
      <c r="H43">
        <v>37</v>
      </c>
      <c r="I43">
        <v>35</v>
      </c>
      <c r="J43">
        <v>35</v>
      </c>
      <c r="K43">
        <v>34</v>
      </c>
      <c r="L43">
        <v>28</v>
      </c>
      <c r="M43">
        <v>28</v>
      </c>
      <c r="N43">
        <v>18</v>
      </c>
      <c r="O43">
        <v>17</v>
      </c>
      <c r="P43">
        <v>14</v>
      </c>
      <c r="Q43">
        <v>7</v>
      </c>
      <c r="R43">
        <v>7</v>
      </c>
      <c r="S43">
        <v>7</v>
      </c>
      <c r="T43">
        <v>6</v>
      </c>
      <c r="U43">
        <v>6</v>
      </c>
    </row>
    <row r="44" spans="1:21" ht="15.75" x14ac:dyDescent="0.25">
      <c r="A44" s="12">
        <v>1955</v>
      </c>
      <c r="B44" s="2">
        <v>0.32600000000000001</v>
      </c>
      <c r="C44" s="2">
        <v>1.66E-2</v>
      </c>
      <c r="D44" s="2">
        <v>-1.34E-2</v>
      </c>
      <c r="E44" s="13">
        <v>-0.4</v>
      </c>
      <c r="G44">
        <v>40</v>
      </c>
      <c r="H44">
        <v>37</v>
      </c>
      <c r="I44">
        <v>36</v>
      </c>
      <c r="J44">
        <v>34</v>
      </c>
      <c r="K44">
        <v>34</v>
      </c>
      <c r="L44">
        <v>28</v>
      </c>
      <c r="M44">
        <v>27</v>
      </c>
      <c r="N44">
        <v>25</v>
      </c>
      <c r="O44">
        <v>17</v>
      </c>
      <c r="P44">
        <v>17</v>
      </c>
      <c r="Q44">
        <v>7</v>
      </c>
      <c r="R44">
        <v>7</v>
      </c>
      <c r="S44">
        <v>6</v>
      </c>
      <c r="T44">
        <v>6</v>
      </c>
      <c r="U44">
        <v>6</v>
      </c>
    </row>
    <row r="45" spans="1:21" ht="15.75" x14ac:dyDescent="0.25">
      <c r="A45" s="14">
        <v>1956</v>
      </c>
      <c r="B45" s="1">
        <v>7.4399999999999994E-2</v>
      </c>
      <c r="C45" s="1">
        <v>2.5600000000000001E-2</v>
      </c>
      <c r="D45" s="1">
        <v>-2.2599999999999999E-2</v>
      </c>
      <c r="E45" s="15">
        <v>1.5</v>
      </c>
      <c r="G45">
        <v>39</v>
      </c>
      <c r="H45">
        <v>37</v>
      </c>
      <c r="I45">
        <v>35</v>
      </c>
      <c r="J45">
        <v>33</v>
      </c>
      <c r="K45">
        <v>33</v>
      </c>
      <c r="L45">
        <v>28</v>
      </c>
      <c r="M45">
        <v>26</v>
      </c>
      <c r="N45">
        <v>26</v>
      </c>
      <c r="O45">
        <v>24</v>
      </c>
      <c r="P45">
        <v>16</v>
      </c>
      <c r="Q45">
        <v>7</v>
      </c>
      <c r="R45">
        <v>7</v>
      </c>
      <c r="S45">
        <v>7</v>
      </c>
      <c r="T45">
        <v>7</v>
      </c>
      <c r="U45">
        <v>7</v>
      </c>
    </row>
    <row r="46" spans="1:21" ht="15.75" x14ac:dyDescent="0.25">
      <c r="A46" s="12">
        <v>1957</v>
      </c>
      <c r="B46" s="2">
        <v>-0.1046</v>
      </c>
      <c r="C46" s="2">
        <v>3.2300000000000002E-2</v>
      </c>
      <c r="D46" s="2">
        <v>6.8000000000000005E-2</v>
      </c>
      <c r="E46" s="13">
        <v>3.3</v>
      </c>
      <c r="G46">
        <v>38</v>
      </c>
      <c r="H46">
        <v>36</v>
      </c>
      <c r="I46">
        <v>34</v>
      </c>
      <c r="J46">
        <v>34</v>
      </c>
      <c r="K46">
        <v>32</v>
      </c>
      <c r="L46">
        <v>27</v>
      </c>
      <c r="M46">
        <v>26</v>
      </c>
      <c r="N46">
        <v>25</v>
      </c>
      <c r="O46">
        <v>23</v>
      </c>
      <c r="P46">
        <v>23</v>
      </c>
      <c r="Q46">
        <v>7</v>
      </c>
      <c r="R46">
        <v>7</v>
      </c>
      <c r="S46">
        <v>6</v>
      </c>
      <c r="T46">
        <v>6</v>
      </c>
      <c r="U46">
        <v>6</v>
      </c>
    </row>
    <row r="47" spans="1:21" ht="15.75" x14ac:dyDescent="0.25">
      <c r="A47" s="14">
        <v>1958</v>
      </c>
      <c r="B47" s="1">
        <v>0.43719999999999998</v>
      </c>
      <c r="C47" s="1">
        <v>1.78E-2</v>
      </c>
      <c r="D47" s="1">
        <v>-2.1000000000000001E-2</v>
      </c>
      <c r="E47" s="15">
        <v>2.8</v>
      </c>
      <c r="G47">
        <v>37</v>
      </c>
      <c r="H47">
        <v>35</v>
      </c>
      <c r="I47">
        <v>34</v>
      </c>
      <c r="J47">
        <v>33</v>
      </c>
      <c r="K47">
        <v>31</v>
      </c>
      <c r="L47">
        <v>26</v>
      </c>
      <c r="M47">
        <v>25</v>
      </c>
      <c r="N47">
        <v>25</v>
      </c>
      <c r="O47">
        <v>24</v>
      </c>
      <c r="P47">
        <v>22</v>
      </c>
      <c r="Q47">
        <v>7</v>
      </c>
      <c r="R47">
        <v>7</v>
      </c>
      <c r="S47">
        <v>6</v>
      </c>
      <c r="T47">
        <v>6</v>
      </c>
      <c r="U47">
        <v>6</v>
      </c>
    </row>
    <row r="48" spans="1:21" ht="15.75" x14ac:dyDescent="0.25">
      <c r="A48" s="12">
        <v>1959</v>
      </c>
      <c r="B48" s="2">
        <v>0.1206</v>
      </c>
      <c r="C48" s="2">
        <v>3.2599999999999997E-2</v>
      </c>
      <c r="D48" s="2">
        <v>-2.6499999999999999E-2</v>
      </c>
      <c r="E48" s="13">
        <v>0.7</v>
      </c>
      <c r="G48">
        <v>37</v>
      </c>
      <c r="H48">
        <v>36</v>
      </c>
      <c r="I48">
        <v>34</v>
      </c>
      <c r="J48">
        <v>32</v>
      </c>
      <c r="K48">
        <v>32</v>
      </c>
      <c r="L48">
        <v>26</v>
      </c>
      <c r="M48">
        <v>25</v>
      </c>
      <c r="N48">
        <v>24</v>
      </c>
      <c r="O48">
        <v>24</v>
      </c>
      <c r="P48">
        <v>24</v>
      </c>
      <c r="Q48">
        <v>8</v>
      </c>
      <c r="R48">
        <v>7</v>
      </c>
      <c r="S48">
        <v>6</v>
      </c>
      <c r="T48">
        <v>6</v>
      </c>
      <c r="U48">
        <v>6</v>
      </c>
    </row>
    <row r="49" spans="1:21" ht="15.75" x14ac:dyDescent="0.25">
      <c r="A49" s="14">
        <v>1960</v>
      </c>
      <c r="B49" s="1">
        <v>3.3999999999999998E-3</v>
      </c>
      <c r="C49" s="1">
        <v>3.0499999999999999E-2</v>
      </c>
      <c r="D49" s="1">
        <v>0.1164</v>
      </c>
      <c r="E49" s="15">
        <v>1.7</v>
      </c>
      <c r="G49">
        <v>36</v>
      </c>
      <c r="H49">
        <v>35</v>
      </c>
      <c r="I49">
        <v>33</v>
      </c>
      <c r="J49">
        <v>32</v>
      </c>
      <c r="K49">
        <v>31</v>
      </c>
      <c r="L49">
        <v>25</v>
      </c>
      <c r="M49">
        <v>24</v>
      </c>
      <c r="N49">
        <v>23</v>
      </c>
      <c r="O49">
        <v>23</v>
      </c>
      <c r="P49">
        <v>23</v>
      </c>
      <c r="Q49">
        <v>8</v>
      </c>
      <c r="R49">
        <v>7</v>
      </c>
      <c r="S49">
        <v>7</v>
      </c>
      <c r="T49">
        <v>7</v>
      </c>
      <c r="U49">
        <v>7</v>
      </c>
    </row>
    <row r="50" spans="1:21" ht="15.75" x14ac:dyDescent="0.25">
      <c r="A50" s="12">
        <v>1961</v>
      </c>
      <c r="B50" s="2">
        <v>0.26640000000000003</v>
      </c>
      <c r="C50" s="2">
        <v>2.2700000000000001E-2</v>
      </c>
      <c r="D50" s="2">
        <v>2.06E-2</v>
      </c>
      <c r="E50" s="13">
        <v>1</v>
      </c>
      <c r="G50">
        <v>36</v>
      </c>
      <c r="H50">
        <v>34</v>
      </c>
      <c r="I50">
        <v>34</v>
      </c>
      <c r="J50">
        <v>32</v>
      </c>
      <c r="K50">
        <v>30</v>
      </c>
      <c r="L50">
        <v>24</v>
      </c>
      <c r="M50">
        <v>24</v>
      </c>
      <c r="N50">
        <v>23</v>
      </c>
      <c r="O50">
        <v>22</v>
      </c>
      <c r="P50">
        <v>22</v>
      </c>
      <c r="Q50">
        <v>9</v>
      </c>
      <c r="R50">
        <v>7</v>
      </c>
      <c r="S50">
        <v>7</v>
      </c>
      <c r="T50">
        <v>7</v>
      </c>
      <c r="U50">
        <v>6</v>
      </c>
    </row>
    <row r="51" spans="1:21" ht="15.75" x14ac:dyDescent="0.25">
      <c r="A51" s="14">
        <v>1962</v>
      </c>
      <c r="B51" s="1">
        <v>-8.8099999999999998E-2</v>
      </c>
      <c r="C51" s="1">
        <v>2.7799999999999998E-2</v>
      </c>
      <c r="D51" s="1">
        <v>5.6899999999999999E-2</v>
      </c>
      <c r="E51" s="15">
        <v>1</v>
      </c>
      <c r="G51">
        <v>35</v>
      </c>
      <c r="H51">
        <v>33</v>
      </c>
      <c r="I51">
        <v>33</v>
      </c>
      <c r="J51">
        <v>31</v>
      </c>
      <c r="K51">
        <v>30</v>
      </c>
      <c r="L51">
        <v>23</v>
      </c>
      <c r="M51">
        <v>23</v>
      </c>
      <c r="N51">
        <v>23</v>
      </c>
      <c r="O51">
        <v>22</v>
      </c>
      <c r="P51">
        <v>21</v>
      </c>
      <c r="Q51">
        <v>8</v>
      </c>
      <c r="R51">
        <v>8</v>
      </c>
      <c r="S51">
        <v>8</v>
      </c>
      <c r="T51">
        <v>8</v>
      </c>
      <c r="U51">
        <v>6</v>
      </c>
    </row>
    <row r="52" spans="1:21" ht="15.75" x14ac:dyDescent="0.25">
      <c r="A52" s="12">
        <v>1963</v>
      </c>
      <c r="B52" s="2">
        <v>0.2261</v>
      </c>
      <c r="C52" s="2">
        <v>3.1099999999999999E-2</v>
      </c>
      <c r="D52" s="2">
        <v>1.6799999999999999E-2</v>
      </c>
      <c r="E52" s="13">
        <v>1.3</v>
      </c>
      <c r="G52">
        <v>34</v>
      </c>
      <c r="H52">
        <v>32</v>
      </c>
      <c r="I52">
        <v>32</v>
      </c>
      <c r="J52">
        <v>32</v>
      </c>
      <c r="K52">
        <v>30</v>
      </c>
      <c r="L52">
        <v>22</v>
      </c>
      <c r="M52">
        <v>22</v>
      </c>
      <c r="N52">
        <v>22</v>
      </c>
      <c r="O52">
        <v>22</v>
      </c>
      <c r="P52">
        <v>21</v>
      </c>
      <c r="Q52">
        <v>8</v>
      </c>
      <c r="R52">
        <v>8</v>
      </c>
      <c r="S52">
        <v>8</v>
      </c>
      <c r="T52">
        <v>8</v>
      </c>
      <c r="U52">
        <v>8</v>
      </c>
    </row>
    <row r="53" spans="1:21" ht="15.75" x14ac:dyDescent="0.25">
      <c r="A53" s="14">
        <v>1964</v>
      </c>
      <c r="B53" s="1">
        <v>0.16420000000000001</v>
      </c>
      <c r="C53" s="1">
        <v>3.5099999999999999E-2</v>
      </c>
      <c r="D53" s="1">
        <v>3.73E-2</v>
      </c>
      <c r="E53" s="15">
        <v>1.3</v>
      </c>
      <c r="G53">
        <v>34</v>
      </c>
      <c r="H53">
        <v>32</v>
      </c>
      <c r="I53">
        <v>31</v>
      </c>
      <c r="J53">
        <v>31</v>
      </c>
      <c r="K53">
        <v>29</v>
      </c>
      <c r="L53">
        <v>21</v>
      </c>
      <c r="M53">
        <v>21</v>
      </c>
      <c r="N53">
        <v>21</v>
      </c>
      <c r="O53">
        <v>21</v>
      </c>
      <c r="P53">
        <v>21</v>
      </c>
      <c r="Q53">
        <v>8</v>
      </c>
      <c r="R53">
        <v>8</v>
      </c>
      <c r="S53">
        <v>8</v>
      </c>
      <c r="T53">
        <v>8</v>
      </c>
      <c r="U53">
        <v>8</v>
      </c>
    </row>
    <row r="54" spans="1:21" ht="15.75" x14ac:dyDescent="0.25">
      <c r="A54" s="12">
        <v>1965</v>
      </c>
      <c r="B54" s="2">
        <v>0.124</v>
      </c>
      <c r="C54" s="2">
        <v>3.9E-2</v>
      </c>
      <c r="D54" s="2">
        <v>7.1999999999999998E-3</v>
      </c>
      <c r="E54" s="13">
        <v>1.6</v>
      </c>
      <c r="G54">
        <v>33</v>
      </c>
      <c r="H54">
        <v>31</v>
      </c>
      <c r="I54">
        <v>30</v>
      </c>
      <c r="J54">
        <v>30</v>
      </c>
      <c r="K54">
        <v>30</v>
      </c>
      <c r="L54">
        <v>21</v>
      </c>
      <c r="M54">
        <v>20</v>
      </c>
      <c r="N54">
        <v>20</v>
      </c>
      <c r="O54">
        <v>20</v>
      </c>
      <c r="P54">
        <v>20</v>
      </c>
      <c r="Q54">
        <v>8</v>
      </c>
      <c r="R54">
        <v>8</v>
      </c>
      <c r="S54">
        <v>7</v>
      </c>
      <c r="T54">
        <v>7</v>
      </c>
      <c r="U54">
        <v>7</v>
      </c>
    </row>
    <row r="55" spans="1:21" ht="15.75" x14ac:dyDescent="0.25">
      <c r="A55" s="14">
        <v>1966</v>
      </c>
      <c r="B55" s="1">
        <v>-9.9699999999999997E-2</v>
      </c>
      <c r="C55" s="1">
        <v>4.8399999999999999E-2</v>
      </c>
      <c r="D55" s="1">
        <v>2.9100000000000001E-2</v>
      </c>
      <c r="E55" s="15">
        <v>2.9</v>
      </c>
      <c r="G55">
        <v>32</v>
      </c>
      <c r="H55">
        <v>31</v>
      </c>
      <c r="I55">
        <v>29</v>
      </c>
      <c r="J55">
        <v>29</v>
      </c>
      <c r="K55">
        <v>29</v>
      </c>
      <c r="L55">
        <v>20</v>
      </c>
      <c r="M55">
        <v>20</v>
      </c>
      <c r="N55">
        <v>19</v>
      </c>
      <c r="O55">
        <v>19</v>
      </c>
      <c r="P55">
        <v>19</v>
      </c>
      <c r="Q55">
        <v>9</v>
      </c>
      <c r="R55">
        <v>9</v>
      </c>
      <c r="S55">
        <v>9</v>
      </c>
      <c r="T55">
        <v>10</v>
      </c>
      <c r="U55">
        <v>10</v>
      </c>
    </row>
    <row r="56" spans="1:21" ht="15.75" x14ac:dyDescent="0.25">
      <c r="A56" s="12">
        <v>1967</v>
      </c>
      <c r="B56" s="2">
        <v>0.23799999999999999</v>
      </c>
      <c r="C56" s="2">
        <v>4.3299999999999998E-2</v>
      </c>
      <c r="D56" s="2">
        <v>-1.5800000000000002E-2</v>
      </c>
      <c r="E56" s="13">
        <v>3.1</v>
      </c>
      <c r="G56">
        <v>31</v>
      </c>
      <c r="H56">
        <v>30</v>
      </c>
      <c r="I56">
        <v>29</v>
      </c>
      <c r="J56">
        <v>28</v>
      </c>
      <c r="K56">
        <v>28</v>
      </c>
      <c r="L56">
        <v>19</v>
      </c>
      <c r="M56">
        <v>19</v>
      </c>
      <c r="N56">
        <v>19</v>
      </c>
      <c r="O56">
        <v>18</v>
      </c>
      <c r="P56">
        <v>18</v>
      </c>
      <c r="Q56">
        <v>9</v>
      </c>
      <c r="R56">
        <v>9</v>
      </c>
      <c r="S56">
        <v>9</v>
      </c>
      <c r="T56">
        <v>9</v>
      </c>
      <c r="U56">
        <v>9</v>
      </c>
    </row>
    <row r="57" spans="1:21" ht="15.75" x14ac:dyDescent="0.25">
      <c r="A57" s="14">
        <v>1968</v>
      </c>
      <c r="B57" s="1">
        <v>0.1081</v>
      </c>
      <c r="C57" s="1">
        <v>5.2600000000000001E-2</v>
      </c>
      <c r="D57" s="1">
        <v>3.27E-2</v>
      </c>
      <c r="E57" s="15">
        <v>4.2</v>
      </c>
      <c r="G57">
        <v>30</v>
      </c>
      <c r="H57">
        <v>29</v>
      </c>
      <c r="I57">
        <v>28</v>
      </c>
      <c r="J57">
        <v>27</v>
      </c>
      <c r="K57">
        <v>27</v>
      </c>
      <c r="L57">
        <v>18</v>
      </c>
      <c r="M57">
        <v>18</v>
      </c>
      <c r="N57">
        <v>18</v>
      </c>
      <c r="O57">
        <v>18</v>
      </c>
      <c r="P57">
        <v>17</v>
      </c>
      <c r="Q57">
        <v>8</v>
      </c>
      <c r="R57">
        <v>8</v>
      </c>
      <c r="S57">
        <v>8</v>
      </c>
      <c r="T57">
        <v>8</v>
      </c>
      <c r="U57">
        <v>8</v>
      </c>
    </row>
    <row r="58" spans="1:21" ht="15.75" x14ac:dyDescent="0.25">
      <c r="A58" s="12">
        <v>1969</v>
      </c>
      <c r="B58" s="2">
        <v>-8.2400000000000001E-2</v>
      </c>
      <c r="C58" s="2">
        <v>6.5600000000000006E-2</v>
      </c>
      <c r="D58" s="2">
        <v>-5.0099999999999999E-2</v>
      </c>
      <c r="E58" s="13">
        <v>5.5</v>
      </c>
      <c r="G58">
        <v>31</v>
      </c>
      <c r="H58">
        <v>28</v>
      </c>
      <c r="I58">
        <v>27</v>
      </c>
      <c r="J58">
        <v>26</v>
      </c>
      <c r="K58">
        <v>26</v>
      </c>
      <c r="L58">
        <v>17</v>
      </c>
      <c r="M58">
        <v>17</v>
      </c>
      <c r="N58">
        <v>17</v>
      </c>
      <c r="O58">
        <v>17</v>
      </c>
      <c r="P58">
        <v>17</v>
      </c>
      <c r="Q58">
        <v>9</v>
      </c>
      <c r="R58">
        <v>9</v>
      </c>
      <c r="S58">
        <v>9</v>
      </c>
      <c r="T58">
        <v>9</v>
      </c>
      <c r="U58">
        <v>9</v>
      </c>
    </row>
    <row r="59" spans="1:21" ht="15.75" x14ac:dyDescent="0.25">
      <c r="A59" s="14">
        <v>1970</v>
      </c>
      <c r="B59" s="1">
        <v>3.56E-2</v>
      </c>
      <c r="C59" s="1">
        <v>6.6900000000000001E-2</v>
      </c>
      <c r="D59" s="1">
        <v>0.16750000000000001</v>
      </c>
      <c r="E59" s="15">
        <v>5.7</v>
      </c>
      <c r="G59">
        <v>30</v>
      </c>
      <c r="H59">
        <v>28</v>
      </c>
      <c r="I59">
        <v>27</v>
      </c>
      <c r="J59">
        <v>26</v>
      </c>
      <c r="K59">
        <v>25</v>
      </c>
      <c r="L59">
        <v>18</v>
      </c>
      <c r="M59">
        <v>16</v>
      </c>
      <c r="N59">
        <v>16</v>
      </c>
      <c r="O59">
        <v>16</v>
      </c>
      <c r="P59">
        <v>16</v>
      </c>
      <c r="Q59">
        <v>11</v>
      </c>
      <c r="R59">
        <v>10</v>
      </c>
      <c r="S59">
        <v>9</v>
      </c>
      <c r="T59">
        <v>9</v>
      </c>
      <c r="U59">
        <v>9</v>
      </c>
    </row>
    <row r="60" spans="1:21" ht="15.75" x14ac:dyDescent="0.25">
      <c r="A60" s="12">
        <v>1971</v>
      </c>
      <c r="B60" s="2">
        <v>0.14219999999999999</v>
      </c>
      <c r="C60" s="2">
        <v>4.5400000000000003E-2</v>
      </c>
      <c r="D60" s="2">
        <v>9.7900000000000001E-2</v>
      </c>
      <c r="E60" s="13">
        <v>4.4000000000000004</v>
      </c>
      <c r="G60">
        <v>31</v>
      </c>
      <c r="H60">
        <v>27</v>
      </c>
      <c r="I60">
        <v>26</v>
      </c>
      <c r="J60">
        <v>25</v>
      </c>
      <c r="K60">
        <v>24</v>
      </c>
      <c r="L60">
        <v>18</v>
      </c>
      <c r="M60">
        <v>17</v>
      </c>
      <c r="N60">
        <v>16</v>
      </c>
      <c r="O60">
        <v>15</v>
      </c>
      <c r="P60">
        <v>15</v>
      </c>
      <c r="Q60">
        <v>11</v>
      </c>
      <c r="R60">
        <v>10</v>
      </c>
      <c r="S60">
        <v>9</v>
      </c>
      <c r="T60">
        <v>9</v>
      </c>
      <c r="U60">
        <v>9</v>
      </c>
    </row>
    <row r="61" spans="1:21" ht="15.75" x14ac:dyDescent="0.25">
      <c r="A61" s="14">
        <v>1972</v>
      </c>
      <c r="B61" s="1">
        <v>0.18759999999999999</v>
      </c>
      <c r="C61" s="1">
        <v>3.95E-2</v>
      </c>
      <c r="D61" s="1">
        <v>2.8199999999999999E-2</v>
      </c>
      <c r="E61" s="15">
        <v>3.2</v>
      </c>
      <c r="G61">
        <v>30</v>
      </c>
      <c r="H61">
        <v>26</v>
      </c>
      <c r="I61">
        <v>25</v>
      </c>
      <c r="J61">
        <v>24</v>
      </c>
      <c r="K61">
        <v>24</v>
      </c>
      <c r="L61">
        <v>17</v>
      </c>
      <c r="M61">
        <v>17</v>
      </c>
      <c r="N61">
        <v>16</v>
      </c>
      <c r="O61">
        <v>15</v>
      </c>
      <c r="P61">
        <v>15</v>
      </c>
      <c r="Q61">
        <v>10</v>
      </c>
      <c r="R61">
        <v>10</v>
      </c>
      <c r="S61">
        <v>10</v>
      </c>
      <c r="T61">
        <v>8</v>
      </c>
      <c r="U61">
        <v>8</v>
      </c>
    </row>
    <row r="62" spans="1:21" ht="15.75" x14ac:dyDescent="0.25">
      <c r="A62" s="12">
        <v>1973</v>
      </c>
      <c r="B62" s="2">
        <v>-0.1431</v>
      </c>
      <c r="C62" s="2">
        <v>6.7299999999999999E-2</v>
      </c>
      <c r="D62" s="2">
        <v>3.6600000000000001E-2</v>
      </c>
      <c r="E62" s="13">
        <v>6.2</v>
      </c>
      <c r="G62">
        <v>30</v>
      </c>
      <c r="H62">
        <v>25</v>
      </c>
      <c r="I62">
        <v>24</v>
      </c>
      <c r="J62">
        <v>24</v>
      </c>
      <c r="K62">
        <v>23</v>
      </c>
      <c r="L62">
        <v>16</v>
      </c>
      <c r="M62">
        <v>16</v>
      </c>
      <c r="N62">
        <v>15</v>
      </c>
      <c r="O62">
        <v>15</v>
      </c>
      <c r="P62">
        <v>15</v>
      </c>
      <c r="Q62">
        <v>9</v>
      </c>
      <c r="R62">
        <v>9</v>
      </c>
      <c r="S62">
        <v>9</v>
      </c>
      <c r="T62">
        <v>9</v>
      </c>
      <c r="U62">
        <v>7</v>
      </c>
    </row>
    <row r="63" spans="1:21" ht="15.75" x14ac:dyDescent="0.25">
      <c r="A63" s="14">
        <v>1974</v>
      </c>
      <c r="B63" s="1">
        <v>-0.25900000000000001</v>
      </c>
      <c r="C63" s="1">
        <v>7.7799999999999994E-2</v>
      </c>
      <c r="D63" s="1">
        <v>1.9900000000000001E-2</v>
      </c>
      <c r="E63" s="15">
        <v>11</v>
      </c>
      <c r="G63">
        <v>30</v>
      </c>
      <c r="H63">
        <v>25</v>
      </c>
      <c r="I63">
        <v>24</v>
      </c>
      <c r="J63">
        <v>23</v>
      </c>
      <c r="K63">
        <v>22</v>
      </c>
      <c r="L63">
        <v>16</v>
      </c>
      <c r="M63">
        <v>15</v>
      </c>
      <c r="N63">
        <v>15</v>
      </c>
      <c r="O63">
        <v>14</v>
      </c>
      <c r="P63">
        <v>14</v>
      </c>
      <c r="Q63">
        <v>8</v>
      </c>
      <c r="R63">
        <v>8</v>
      </c>
      <c r="S63">
        <v>8</v>
      </c>
      <c r="T63">
        <v>8</v>
      </c>
      <c r="U63">
        <v>8</v>
      </c>
    </row>
    <row r="64" spans="1:21" ht="15.75" x14ac:dyDescent="0.25">
      <c r="A64" s="12">
        <v>1975</v>
      </c>
      <c r="B64" s="2">
        <v>0.37</v>
      </c>
      <c r="C64" s="2">
        <v>5.9900000000000002E-2</v>
      </c>
      <c r="D64" s="2">
        <v>3.61E-2</v>
      </c>
      <c r="E64" s="13">
        <v>9.1</v>
      </c>
      <c r="G64">
        <v>31</v>
      </c>
      <c r="H64">
        <v>28</v>
      </c>
      <c r="I64">
        <v>23</v>
      </c>
      <c r="J64">
        <v>22</v>
      </c>
      <c r="K64">
        <v>22</v>
      </c>
      <c r="L64">
        <v>16</v>
      </c>
      <c r="M64">
        <v>14</v>
      </c>
      <c r="N64">
        <v>14</v>
      </c>
      <c r="O64">
        <v>14</v>
      </c>
      <c r="P64">
        <v>14</v>
      </c>
      <c r="Q64">
        <v>8</v>
      </c>
      <c r="R64">
        <v>8</v>
      </c>
      <c r="S64">
        <v>8</v>
      </c>
      <c r="T64">
        <v>8</v>
      </c>
      <c r="U64">
        <v>8</v>
      </c>
    </row>
    <row r="65" spans="1:21" ht="15.75" x14ac:dyDescent="0.25">
      <c r="A65" s="14">
        <v>1976</v>
      </c>
      <c r="B65" s="1">
        <v>0.23830000000000001</v>
      </c>
      <c r="C65" s="1">
        <v>4.9700000000000001E-2</v>
      </c>
      <c r="D65" s="1">
        <v>0.1598</v>
      </c>
      <c r="E65" s="15">
        <v>5.8</v>
      </c>
      <c r="G65">
        <v>31</v>
      </c>
      <c r="H65">
        <v>27</v>
      </c>
      <c r="I65">
        <v>22</v>
      </c>
      <c r="J65">
        <v>21</v>
      </c>
      <c r="K65">
        <v>21</v>
      </c>
      <c r="L65">
        <v>15</v>
      </c>
      <c r="M65">
        <v>15</v>
      </c>
      <c r="N65">
        <v>15</v>
      </c>
      <c r="O65">
        <v>13</v>
      </c>
      <c r="P65">
        <v>13</v>
      </c>
      <c r="Q65">
        <v>8</v>
      </c>
      <c r="R65">
        <v>7</v>
      </c>
      <c r="S65">
        <v>7</v>
      </c>
      <c r="T65">
        <v>7</v>
      </c>
      <c r="U65">
        <v>7</v>
      </c>
    </row>
    <row r="66" spans="1:21" ht="15.75" x14ac:dyDescent="0.25">
      <c r="A66" s="12">
        <v>1977</v>
      </c>
      <c r="B66" s="2">
        <v>-6.9800000000000001E-2</v>
      </c>
      <c r="C66" s="2">
        <v>5.1299999999999998E-2</v>
      </c>
      <c r="D66" s="2">
        <v>1.29E-2</v>
      </c>
      <c r="E66" s="13">
        <v>6.5</v>
      </c>
      <c r="G66">
        <v>31</v>
      </c>
      <c r="H66">
        <v>27</v>
      </c>
      <c r="I66">
        <v>22</v>
      </c>
      <c r="J66">
        <v>21</v>
      </c>
      <c r="K66">
        <v>20</v>
      </c>
      <c r="L66">
        <v>15</v>
      </c>
      <c r="M66">
        <v>14</v>
      </c>
      <c r="N66">
        <v>14</v>
      </c>
      <c r="O66">
        <v>14</v>
      </c>
      <c r="P66">
        <v>12</v>
      </c>
      <c r="Q66">
        <v>7</v>
      </c>
      <c r="R66">
        <v>7</v>
      </c>
      <c r="S66">
        <v>7</v>
      </c>
      <c r="T66">
        <v>7</v>
      </c>
      <c r="U66">
        <v>7</v>
      </c>
    </row>
    <row r="67" spans="1:21" ht="15.75" x14ac:dyDescent="0.25">
      <c r="A67" s="14">
        <v>1978</v>
      </c>
      <c r="B67" s="1">
        <v>6.5100000000000005E-2</v>
      </c>
      <c r="C67" s="1">
        <v>6.93E-2</v>
      </c>
      <c r="D67" s="1">
        <v>-7.7999999999999996E-3</v>
      </c>
      <c r="E67" s="15">
        <v>7.6</v>
      </c>
      <c r="G67">
        <v>32</v>
      </c>
      <c r="H67">
        <v>28</v>
      </c>
      <c r="I67">
        <v>26</v>
      </c>
      <c r="J67">
        <v>20</v>
      </c>
      <c r="K67">
        <v>19</v>
      </c>
      <c r="L67">
        <v>15</v>
      </c>
      <c r="M67">
        <v>14</v>
      </c>
      <c r="N67">
        <v>13</v>
      </c>
      <c r="O67">
        <v>13</v>
      </c>
      <c r="P67">
        <v>13</v>
      </c>
      <c r="Q67">
        <v>7</v>
      </c>
      <c r="R67">
        <v>7</v>
      </c>
      <c r="S67">
        <v>7</v>
      </c>
      <c r="T67">
        <v>7</v>
      </c>
      <c r="U67">
        <v>7</v>
      </c>
    </row>
    <row r="68" spans="1:21" ht="15.75" x14ac:dyDescent="0.25">
      <c r="A68" s="12">
        <v>1979</v>
      </c>
      <c r="B68" s="2">
        <v>0.1852</v>
      </c>
      <c r="C68" s="2">
        <v>9.9400000000000002E-2</v>
      </c>
      <c r="D68" s="2">
        <v>6.7000000000000002E-3</v>
      </c>
      <c r="E68" s="13">
        <v>11.3</v>
      </c>
      <c r="G68">
        <v>32</v>
      </c>
      <c r="H68">
        <v>28</v>
      </c>
      <c r="I68">
        <v>27</v>
      </c>
      <c r="J68">
        <v>20</v>
      </c>
      <c r="K68">
        <v>19</v>
      </c>
      <c r="L68">
        <v>14</v>
      </c>
      <c r="M68">
        <v>14</v>
      </c>
      <c r="N68">
        <v>13</v>
      </c>
      <c r="O68">
        <v>13</v>
      </c>
      <c r="P68">
        <v>12</v>
      </c>
      <c r="Q68">
        <v>6</v>
      </c>
      <c r="R68">
        <v>6</v>
      </c>
      <c r="S68">
        <v>6</v>
      </c>
      <c r="T68">
        <v>6</v>
      </c>
      <c r="U68">
        <v>6</v>
      </c>
    </row>
    <row r="69" spans="1:21" ht="15.75" x14ac:dyDescent="0.25">
      <c r="A69" s="14">
        <v>1980</v>
      </c>
      <c r="B69" s="1">
        <v>0.31740000000000002</v>
      </c>
      <c r="C69" s="1">
        <v>0.11219999999999999</v>
      </c>
      <c r="D69" s="1">
        <v>-2.9899999999999999E-2</v>
      </c>
      <c r="E69" s="15">
        <v>13.5</v>
      </c>
      <c r="G69">
        <v>31</v>
      </c>
      <c r="H69">
        <v>30</v>
      </c>
      <c r="I69">
        <v>27</v>
      </c>
      <c r="J69">
        <v>19</v>
      </c>
      <c r="K69">
        <v>18</v>
      </c>
      <c r="L69">
        <v>15</v>
      </c>
      <c r="M69">
        <v>15</v>
      </c>
      <c r="N69">
        <v>13</v>
      </c>
      <c r="O69">
        <v>13</v>
      </c>
      <c r="P69">
        <v>13</v>
      </c>
      <c r="Q69">
        <v>6</v>
      </c>
      <c r="R69">
        <v>6</v>
      </c>
      <c r="S69">
        <v>6</v>
      </c>
      <c r="T69">
        <v>6</v>
      </c>
      <c r="U69">
        <v>6</v>
      </c>
    </row>
    <row r="70" spans="1:21" ht="15.75" x14ac:dyDescent="0.25">
      <c r="A70" s="12">
        <v>1981</v>
      </c>
      <c r="B70" s="2">
        <v>-4.7E-2</v>
      </c>
      <c r="C70" s="2">
        <v>0.14299999999999999</v>
      </c>
      <c r="D70" s="2">
        <v>8.2000000000000003E-2</v>
      </c>
      <c r="E70" s="13">
        <v>10.3</v>
      </c>
      <c r="G70">
        <v>33</v>
      </c>
      <c r="H70">
        <v>30</v>
      </c>
      <c r="I70">
        <v>29</v>
      </c>
      <c r="J70">
        <v>25</v>
      </c>
      <c r="K70">
        <v>18</v>
      </c>
      <c r="L70">
        <v>14</v>
      </c>
      <c r="M70">
        <v>14</v>
      </c>
      <c r="N70">
        <v>14</v>
      </c>
      <c r="O70">
        <v>14</v>
      </c>
      <c r="P70">
        <v>14</v>
      </c>
      <c r="Q70">
        <v>5</v>
      </c>
      <c r="R70">
        <v>5</v>
      </c>
      <c r="S70">
        <v>5</v>
      </c>
      <c r="T70">
        <v>5</v>
      </c>
      <c r="U70">
        <v>5</v>
      </c>
    </row>
    <row r="71" spans="1:21" ht="15.75" x14ac:dyDescent="0.25">
      <c r="A71" s="14">
        <v>1982</v>
      </c>
      <c r="B71" s="1">
        <v>0.20419999999999999</v>
      </c>
      <c r="C71" s="1">
        <v>0.1101</v>
      </c>
      <c r="D71" s="1">
        <v>0.3281</v>
      </c>
      <c r="E71" s="15">
        <v>6.2</v>
      </c>
      <c r="G71">
        <v>33</v>
      </c>
      <c r="H71">
        <v>31</v>
      </c>
      <c r="I71">
        <v>30</v>
      </c>
      <c r="J71">
        <v>30</v>
      </c>
      <c r="K71">
        <v>25</v>
      </c>
      <c r="L71">
        <v>15</v>
      </c>
      <c r="M71">
        <v>14</v>
      </c>
      <c r="N71">
        <v>13</v>
      </c>
      <c r="O71">
        <v>13</v>
      </c>
      <c r="P71">
        <v>13</v>
      </c>
      <c r="Q71">
        <v>6</v>
      </c>
      <c r="R71">
        <v>6</v>
      </c>
      <c r="S71">
        <v>6</v>
      </c>
      <c r="T71">
        <v>6</v>
      </c>
      <c r="U71">
        <v>6</v>
      </c>
    </row>
    <row r="72" spans="1:21" ht="15.75" x14ac:dyDescent="0.25">
      <c r="A72" s="12">
        <v>1983</v>
      </c>
      <c r="B72" s="2">
        <v>0.22339999999999999</v>
      </c>
      <c r="C72" s="2">
        <v>8.4500000000000006E-2</v>
      </c>
      <c r="D72" s="2">
        <v>3.2000000000000001E-2</v>
      </c>
      <c r="E72" s="13">
        <v>3.2</v>
      </c>
      <c r="G72">
        <v>34</v>
      </c>
      <c r="H72">
        <v>31</v>
      </c>
      <c r="I72">
        <v>30</v>
      </c>
      <c r="J72">
        <v>30</v>
      </c>
      <c r="K72">
        <v>30</v>
      </c>
      <c r="L72">
        <v>15</v>
      </c>
      <c r="M72">
        <v>14</v>
      </c>
      <c r="N72">
        <v>13</v>
      </c>
      <c r="O72">
        <v>13</v>
      </c>
      <c r="P72">
        <v>12</v>
      </c>
      <c r="Q72">
        <v>6</v>
      </c>
      <c r="R72">
        <v>6</v>
      </c>
      <c r="S72">
        <v>6</v>
      </c>
      <c r="T72">
        <v>6</v>
      </c>
      <c r="U72">
        <v>6</v>
      </c>
    </row>
    <row r="73" spans="1:21" ht="15.75" x14ac:dyDescent="0.25">
      <c r="A73" s="14">
        <v>1984</v>
      </c>
      <c r="B73" s="1">
        <v>6.1499999999999999E-2</v>
      </c>
      <c r="C73" s="1">
        <v>9.6100000000000005E-2</v>
      </c>
      <c r="D73" s="1">
        <v>0.13730000000000001</v>
      </c>
      <c r="E73" s="15">
        <v>4.3</v>
      </c>
      <c r="H73">
        <v>31</v>
      </c>
      <c r="I73">
        <v>29</v>
      </c>
      <c r="J73">
        <v>29</v>
      </c>
      <c r="K73">
        <v>29</v>
      </c>
      <c r="L73">
        <v>14</v>
      </c>
      <c r="M73">
        <v>13</v>
      </c>
      <c r="N73">
        <v>13</v>
      </c>
      <c r="O73">
        <v>13</v>
      </c>
      <c r="P73">
        <v>12</v>
      </c>
      <c r="Q73">
        <v>7</v>
      </c>
      <c r="R73">
        <v>7</v>
      </c>
      <c r="S73">
        <v>6</v>
      </c>
      <c r="T73">
        <v>6</v>
      </c>
      <c r="U73">
        <v>5</v>
      </c>
    </row>
    <row r="74" spans="1:21" ht="15.75" x14ac:dyDescent="0.25">
      <c r="A74" s="12">
        <v>1985</v>
      </c>
      <c r="B74" s="2">
        <v>0.31240000000000001</v>
      </c>
      <c r="C74" s="2">
        <v>7.4899999999999994E-2</v>
      </c>
      <c r="D74" s="2">
        <v>0.2571</v>
      </c>
      <c r="E74" s="13">
        <v>3.6</v>
      </c>
      <c r="H74">
        <v>32</v>
      </c>
      <c r="I74">
        <v>29</v>
      </c>
      <c r="J74">
        <v>29</v>
      </c>
      <c r="K74">
        <v>28</v>
      </c>
      <c r="L74">
        <v>15</v>
      </c>
      <c r="M74">
        <v>13</v>
      </c>
      <c r="N74">
        <v>13</v>
      </c>
      <c r="O74">
        <v>12</v>
      </c>
      <c r="P74">
        <v>12</v>
      </c>
      <c r="Q74">
        <v>7</v>
      </c>
      <c r="R74">
        <v>6</v>
      </c>
      <c r="S74">
        <v>6</v>
      </c>
      <c r="T74">
        <v>6</v>
      </c>
      <c r="U74">
        <v>6</v>
      </c>
    </row>
    <row r="75" spans="1:21" ht="15.75" x14ac:dyDescent="0.25">
      <c r="A75" s="14">
        <v>1986</v>
      </c>
      <c r="B75" s="1">
        <v>0.18490000000000001</v>
      </c>
      <c r="C75" s="1">
        <v>6.0400000000000002E-2</v>
      </c>
      <c r="D75" s="1">
        <v>0.24279999999999999</v>
      </c>
      <c r="E75" s="15">
        <v>1.9</v>
      </c>
      <c r="I75">
        <v>30</v>
      </c>
      <c r="J75">
        <v>28</v>
      </c>
      <c r="K75">
        <v>28</v>
      </c>
      <c r="L75">
        <v>16</v>
      </c>
      <c r="M75">
        <v>13</v>
      </c>
      <c r="N75">
        <v>12</v>
      </c>
      <c r="O75">
        <v>12</v>
      </c>
      <c r="P75">
        <v>11</v>
      </c>
      <c r="Q75">
        <v>7</v>
      </c>
      <c r="R75">
        <v>6</v>
      </c>
      <c r="S75">
        <v>6</v>
      </c>
      <c r="T75">
        <v>6</v>
      </c>
      <c r="U75">
        <v>6</v>
      </c>
    </row>
    <row r="76" spans="1:21" ht="15.75" x14ac:dyDescent="0.25">
      <c r="A76" s="12">
        <v>1987</v>
      </c>
      <c r="B76" s="2">
        <v>5.8099999999999999E-2</v>
      </c>
      <c r="C76" s="2">
        <v>5.7200000000000001E-2</v>
      </c>
      <c r="D76" s="2">
        <v>-4.9599999999999998E-2</v>
      </c>
      <c r="E76" s="13">
        <v>3.6</v>
      </c>
      <c r="I76">
        <v>30</v>
      </c>
      <c r="J76">
        <v>29</v>
      </c>
      <c r="K76">
        <v>29</v>
      </c>
      <c r="L76">
        <v>16</v>
      </c>
      <c r="M76">
        <v>16</v>
      </c>
      <c r="N76">
        <v>12</v>
      </c>
      <c r="O76">
        <v>11</v>
      </c>
      <c r="P76">
        <v>11</v>
      </c>
      <c r="Q76">
        <v>6</v>
      </c>
      <c r="R76">
        <v>6</v>
      </c>
      <c r="S76">
        <v>6</v>
      </c>
      <c r="T76">
        <v>6</v>
      </c>
      <c r="U76">
        <v>6</v>
      </c>
    </row>
    <row r="77" spans="1:21" ht="15.75" x14ac:dyDescent="0.25">
      <c r="A77" s="14">
        <v>1988</v>
      </c>
      <c r="B77" s="1">
        <v>0.16539999999999999</v>
      </c>
      <c r="C77" s="1">
        <v>6.4500000000000002E-2</v>
      </c>
      <c r="D77" s="1">
        <v>8.2199999999999995E-2</v>
      </c>
      <c r="E77" s="15">
        <v>4.0999999999999996</v>
      </c>
      <c r="J77">
        <v>29</v>
      </c>
      <c r="K77">
        <v>29</v>
      </c>
      <c r="L77">
        <v>16</v>
      </c>
      <c r="M77">
        <v>15</v>
      </c>
      <c r="N77">
        <v>15</v>
      </c>
      <c r="O77">
        <v>11</v>
      </c>
      <c r="P77">
        <v>10</v>
      </c>
      <c r="Q77">
        <v>7</v>
      </c>
      <c r="R77">
        <v>7</v>
      </c>
      <c r="S77">
        <v>7</v>
      </c>
      <c r="T77">
        <v>7</v>
      </c>
      <c r="U77">
        <v>7</v>
      </c>
    </row>
    <row r="78" spans="1:21" ht="15.75" x14ac:dyDescent="0.25">
      <c r="A78" s="12">
        <v>1989</v>
      </c>
      <c r="B78" s="2">
        <v>0.31480000000000002</v>
      </c>
      <c r="C78" s="2">
        <v>8.1100000000000005E-2</v>
      </c>
      <c r="D78" s="2">
        <v>0.1769</v>
      </c>
      <c r="E78" s="13">
        <v>4.8</v>
      </c>
      <c r="J78">
        <v>28</v>
      </c>
      <c r="K78">
        <v>28</v>
      </c>
      <c r="L78">
        <v>17</v>
      </c>
      <c r="M78">
        <v>16</v>
      </c>
      <c r="N78">
        <v>15</v>
      </c>
      <c r="O78">
        <v>15</v>
      </c>
      <c r="P78">
        <v>10</v>
      </c>
      <c r="Q78">
        <v>6</v>
      </c>
      <c r="R78">
        <v>6</v>
      </c>
      <c r="S78">
        <v>6</v>
      </c>
      <c r="T78">
        <v>6</v>
      </c>
      <c r="U78">
        <v>6</v>
      </c>
    </row>
    <row r="79" spans="1:21" ht="15.75" x14ac:dyDescent="0.25">
      <c r="A79" s="14">
        <v>1990</v>
      </c>
      <c r="B79" s="1">
        <v>-3.0599999999999999E-2</v>
      </c>
      <c r="C79" s="1">
        <v>7.5499999999999998E-2</v>
      </c>
      <c r="D79" s="1">
        <v>6.2399999999999997E-2</v>
      </c>
      <c r="E79" s="15">
        <v>5.4</v>
      </c>
      <c r="K79">
        <v>27</v>
      </c>
      <c r="L79">
        <v>17</v>
      </c>
      <c r="M79">
        <v>17</v>
      </c>
      <c r="N79">
        <v>16</v>
      </c>
      <c r="O79">
        <v>16</v>
      </c>
      <c r="P79">
        <v>16</v>
      </c>
      <c r="Q79">
        <v>7</v>
      </c>
      <c r="R79">
        <v>6</v>
      </c>
      <c r="S79">
        <v>6</v>
      </c>
      <c r="T79">
        <v>6</v>
      </c>
      <c r="U79">
        <v>6</v>
      </c>
    </row>
    <row r="80" spans="1:21" ht="15.75" x14ac:dyDescent="0.25">
      <c r="A80" s="12">
        <v>1991</v>
      </c>
      <c r="B80" s="2">
        <v>0.30230000000000001</v>
      </c>
      <c r="C80" s="2">
        <v>5.6099999999999997E-2</v>
      </c>
      <c r="D80" s="2">
        <v>0.15</v>
      </c>
      <c r="E80" s="13">
        <v>4.2</v>
      </c>
      <c r="L80">
        <v>17</v>
      </c>
      <c r="M80">
        <v>18</v>
      </c>
      <c r="N80">
        <v>16</v>
      </c>
      <c r="O80">
        <v>16</v>
      </c>
      <c r="P80">
        <v>15</v>
      </c>
      <c r="Q80">
        <v>6</v>
      </c>
      <c r="R80">
        <v>6</v>
      </c>
      <c r="S80">
        <v>6</v>
      </c>
      <c r="T80">
        <v>6</v>
      </c>
      <c r="U80">
        <v>5</v>
      </c>
    </row>
    <row r="81" spans="1:21" ht="15.75" x14ac:dyDescent="0.25">
      <c r="A81" s="14">
        <v>1992</v>
      </c>
      <c r="B81" s="1">
        <v>7.4899999999999994E-2</v>
      </c>
      <c r="C81" s="1">
        <v>3.4099999999999998E-2</v>
      </c>
      <c r="D81" s="1">
        <v>9.3600000000000003E-2</v>
      </c>
      <c r="E81" s="15">
        <v>3</v>
      </c>
      <c r="L81">
        <v>18</v>
      </c>
      <c r="M81">
        <v>18</v>
      </c>
      <c r="N81">
        <v>18</v>
      </c>
      <c r="O81">
        <v>18</v>
      </c>
      <c r="P81">
        <v>20</v>
      </c>
      <c r="Q81">
        <v>6</v>
      </c>
      <c r="R81">
        <v>6</v>
      </c>
      <c r="S81">
        <v>6</v>
      </c>
      <c r="T81">
        <v>5</v>
      </c>
      <c r="U81">
        <v>5</v>
      </c>
    </row>
    <row r="82" spans="1:21" ht="15.75" x14ac:dyDescent="0.25">
      <c r="A82" s="12">
        <v>1993</v>
      </c>
      <c r="B82" s="2">
        <v>9.9699999999999997E-2</v>
      </c>
      <c r="C82" s="2">
        <v>2.98E-2</v>
      </c>
      <c r="D82" s="2">
        <v>0.1421</v>
      </c>
      <c r="E82" s="13">
        <v>3</v>
      </c>
      <c r="L82">
        <v>18</v>
      </c>
      <c r="M82">
        <v>18</v>
      </c>
      <c r="N82">
        <v>18</v>
      </c>
      <c r="O82">
        <v>19</v>
      </c>
      <c r="P82">
        <v>19</v>
      </c>
      <c r="Q82">
        <v>7</v>
      </c>
      <c r="R82">
        <v>6</v>
      </c>
      <c r="S82">
        <v>5</v>
      </c>
      <c r="T82">
        <v>5</v>
      </c>
      <c r="U82">
        <v>5</v>
      </c>
    </row>
    <row r="83" spans="1:21" ht="15.75" x14ac:dyDescent="0.25">
      <c r="A83" s="14">
        <v>1994</v>
      </c>
      <c r="B83" s="1">
        <v>1.3299999999999999E-2</v>
      </c>
      <c r="C83" s="1">
        <v>3.9899999999999998E-2</v>
      </c>
      <c r="D83" s="1">
        <v>-8.0399999999999999E-2</v>
      </c>
      <c r="E83" s="15">
        <v>2.6</v>
      </c>
      <c r="L83">
        <v>18</v>
      </c>
      <c r="M83">
        <v>18</v>
      </c>
      <c r="N83">
        <v>18</v>
      </c>
      <c r="O83">
        <v>18</v>
      </c>
      <c r="P83">
        <v>19</v>
      </c>
      <c r="Q83">
        <v>7</v>
      </c>
      <c r="R83">
        <v>6</v>
      </c>
      <c r="S83">
        <v>5</v>
      </c>
      <c r="T83">
        <v>5</v>
      </c>
      <c r="U83">
        <v>5</v>
      </c>
    </row>
    <row r="84" spans="1:21" ht="15.75" x14ac:dyDescent="0.25">
      <c r="A84" s="12">
        <v>1995</v>
      </c>
      <c r="B84" s="2">
        <v>0.372</v>
      </c>
      <c r="C84" s="2">
        <v>5.5199999999999999E-2</v>
      </c>
      <c r="D84" s="2">
        <v>0.23480000000000001</v>
      </c>
      <c r="E84" s="13">
        <v>2.8</v>
      </c>
      <c r="L84">
        <v>19</v>
      </c>
      <c r="M84">
        <v>18</v>
      </c>
      <c r="N84">
        <v>18</v>
      </c>
      <c r="O84">
        <v>18</v>
      </c>
      <c r="P84">
        <v>18</v>
      </c>
      <c r="Q84">
        <v>7</v>
      </c>
      <c r="R84">
        <v>7</v>
      </c>
      <c r="S84">
        <v>8</v>
      </c>
      <c r="T84">
        <v>8</v>
      </c>
      <c r="U84">
        <v>8</v>
      </c>
    </row>
    <row r="85" spans="1:21" ht="15.75" x14ac:dyDescent="0.25">
      <c r="A85" s="14">
        <v>1996</v>
      </c>
      <c r="B85" s="1">
        <v>0.2268</v>
      </c>
      <c r="C85" s="1">
        <v>5.0200000000000002E-2</v>
      </c>
      <c r="D85" s="1">
        <v>1.43E-2</v>
      </c>
      <c r="E85" s="15">
        <v>3</v>
      </c>
      <c r="L85">
        <v>18</v>
      </c>
      <c r="M85">
        <v>18</v>
      </c>
      <c r="N85">
        <v>17</v>
      </c>
      <c r="O85">
        <v>17</v>
      </c>
      <c r="P85">
        <v>17</v>
      </c>
      <c r="Q85">
        <v>7</v>
      </c>
      <c r="R85">
        <v>7</v>
      </c>
      <c r="S85">
        <v>7</v>
      </c>
      <c r="T85">
        <v>8</v>
      </c>
      <c r="U85">
        <v>8</v>
      </c>
    </row>
    <row r="86" spans="1:21" ht="15.75" x14ac:dyDescent="0.25">
      <c r="A86" s="12">
        <v>1997</v>
      </c>
      <c r="B86" s="2">
        <v>0.33100000000000002</v>
      </c>
      <c r="C86" s="2">
        <v>5.0500000000000003E-2</v>
      </c>
      <c r="D86" s="2">
        <v>9.9400000000000002E-2</v>
      </c>
      <c r="E86" s="13">
        <v>2.2999999999999998</v>
      </c>
      <c r="L86">
        <v>18</v>
      </c>
      <c r="M86">
        <v>17</v>
      </c>
      <c r="N86">
        <v>17</v>
      </c>
      <c r="O86">
        <v>17</v>
      </c>
      <c r="P86">
        <v>17</v>
      </c>
      <c r="Q86">
        <v>7</v>
      </c>
      <c r="R86">
        <v>7</v>
      </c>
      <c r="S86">
        <v>7</v>
      </c>
      <c r="T86">
        <v>8</v>
      </c>
      <c r="U86">
        <v>8</v>
      </c>
    </row>
    <row r="87" spans="1:21" ht="15.75" x14ac:dyDescent="0.25">
      <c r="A87" s="14">
        <v>1998</v>
      </c>
      <c r="B87" s="1">
        <v>0.28339999999999999</v>
      </c>
      <c r="C87" s="1">
        <v>4.7300000000000002E-2</v>
      </c>
      <c r="D87" s="1">
        <v>0.1492</v>
      </c>
      <c r="E87" s="15">
        <v>1.6</v>
      </c>
      <c r="L87">
        <v>19</v>
      </c>
      <c r="M87">
        <v>18</v>
      </c>
      <c r="N87">
        <v>17</v>
      </c>
      <c r="O87">
        <v>16</v>
      </c>
      <c r="P87">
        <v>16</v>
      </c>
      <c r="Q87">
        <v>8</v>
      </c>
      <c r="R87">
        <v>8</v>
      </c>
      <c r="S87">
        <v>8</v>
      </c>
      <c r="T87">
        <v>8</v>
      </c>
      <c r="U87">
        <v>8</v>
      </c>
    </row>
    <row r="88" spans="1:21" ht="15.75" x14ac:dyDescent="0.25">
      <c r="A88" s="12">
        <v>1999</v>
      </c>
      <c r="B88" s="2">
        <v>0.2089</v>
      </c>
      <c r="C88" s="2">
        <v>4.5100000000000001E-2</v>
      </c>
      <c r="D88" s="2">
        <v>-8.2500000000000004E-2</v>
      </c>
      <c r="E88" s="13">
        <v>2.2000000000000002</v>
      </c>
      <c r="M88">
        <v>17</v>
      </c>
      <c r="N88">
        <v>17</v>
      </c>
      <c r="O88">
        <v>16</v>
      </c>
      <c r="P88">
        <v>16</v>
      </c>
      <c r="Q88">
        <v>8</v>
      </c>
      <c r="R88">
        <v>7</v>
      </c>
      <c r="S88">
        <v>7</v>
      </c>
      <c r="T88">
        <v>7</v>
      </c>
      <c r="U88">
        <v>7</v>
      </c>
    </row>
    <row r="89" spans="1:21" ht="15.75" x14ac:dyDescent="0.25">
      <c r="A89" s="14">
        <v>2000</v>
      </c>
      <c r="B89" s="1">
        <v>-9.0300000000000005E-2</v>
      </c>
      <c r="C89" s="1">
        <v>5.7599999999999998E-2</v>
      </c>
      <c r="D89" s="1">
        <v>0.1666</v>
      </c>
      <c r="E89" s="15">
        <v>3.4</v>
      </c>
      <c r="M89">
        <v>17</v>
      </c>
      <c r="N89">
        <v>16</v>
      </c>
      <c r="O89">
        <v>16</v>
      </c>
      <c r="P89">
        <v>16</v>
      </c>
      <c r="Q89">
        <v>7</v>
      </c>
      <c r="R89">
        <v>7</v>
      </c>
      <c r="S89">
        <v>7</v>
      </c>
      <c r="T89">
        <v>7</v>
      </c>
      <c r="U89">
        <v>7</v>
      </c>
    </row>
    <row r="90" spans="1:21" ht="15.75" x14ac:dyDescent="0.25">
      <c r="A90" s="12">
        <v>2001</v>
      </c>
      <c r="B90" s="2">
        <v>-0.11849999999999999</v>
      </c>
      <c r="C90" s="2">
        <v>3.6700000000000003E-2</v>
      </c>
      <c r="D90" s="2">
        <v>5.57E-2</v>
      </c>
      <c r="E90" s="13">
        <v>2.8</v>
      </c>
      <c r="N90">
        <v>16</v>
      </c>
      <c r="O90">
        <v>15</v>
      </c>
      <c r="P90">
        <v>15</v>
      </c>
      <c r="Q90">
        <v>7</v>
      </c>
      <c r="R90">
        <v>8</v>
      </c>
      <c r="S90">
        <v>8</v>
      </c>
      <c r="T90">
        <v>8</v>
      </c>
      <c r="U90">
        <v>9</v>
      </c>
    </row>
    <row r="91" spans="1:21" ht="15.75" x14ac:dyDescent="0.25">
      <c r="A91" s="14">
        <v>2002</v>
      </c>
      <c r="B91" s="1">
        <v>-0.21970000000000001</v>
      </c>
      <c r="C91" s="1">
        <v>1.66E-2</v>
      </c>
      <c r="D91" s="1">
        <v>0.1512</v>
      </c>
      <c r="E91" s="15">
        <v>1.6</v>
      </c>
      <c r="N91">
        <v>15</v>
      </c>
      <c r="O91">
        <v>15</v>
      </c>
      <c r="P91">
        <v>15</v>
      </c>
      <c r="Q91">
        <v>8</v>
      </c>
      <c r="R91">
        <v>8</v>
      </c>
      <c r="S91">
        <v>8</v>
      </c>
      <c r="T91">
        <v>8</v>
      </c>
      <c r="U91">
        <v>8</v>
      </c>
    </row>
    <row r="92" spans="1:21" ht="15.75" x14ac:dyDescent="0.25">
      <c r="A92" s="12">
        <v>2003</v>
      </c>
      <c r="B92" s="2">
        <v>0.28360000000000002</v>
      </c>
      <c r="C92" s="2">
        <v>1.03E-2</v>
      </c>
      <c r="D92" s="2">
        <v>3.8E-3</v>
      </c>
      <c r="E92" s="13">
        <v>2.2999999999999998</v>
      </c>
      <c r="O92">
        <v>14</v>
      </c>
      <c r="P92">
        <v>14</v>
      </c>
      <c r="Q92">
        <v>7</v>
      </c>
      <c r="R92">
        <v>7</v>
      </c>
      <c r="S92">
        <v>7</v>
      </c>
      <c r="T92">
        <v>7</v>
      </c>
      <c r="U92">
        <v>8</v>
      </c>
    </row>
    <row r="93" spans="1:21" ht="15.75" x14ac:dyDescent="0.25">
      <c r="A93" s="14">
        <v>2004</v>
      </c>
      <c r="B93" s="1">
        <v>0.1074</v>
      </c>
      <c r="C93" s="1">
        <v>1.23E-2</v>
      </c>
      <c r="D93" s="1">
        <v>4.4900000000000002E-2</v>
      </c>
      <c r="E93" s="15">
        <v>2.7</v>
      </c>
      <c r="P93">
        <v>13</v>
      </c>
      <c r="Q93">
        <v>7</v>
      </c>
      <c r="R93">
        <v>7</v>
      </c>
      <c r="S93">
        <v>7</v>
      </c>
      <c r="T93">
        <v>8</v>
      </c>
      <c r="U93">
        <v>8</v>
      </c>
    </row>
    <row r="94" spans="1:21" ht="15.75" x14ac:dyDescent="0.25">
      <c r="A94" s="12">
        <v>2005</v>
      </c>
      <c r="B94" s="2">
        <v>4.8300000000000003E-2</v>
      </c>
      <c r="C94" s="2">
        <v>3.0099999999999998E-2</v>
      </c>
      <c r="D94" s="2">
        <v>2.87E-2</v>
      </c>
      <c r="E94" s="13">
        <v>3.4</v>
      </c>
      <c r="Q94">
        <v>7</v>
      </c>
      <c r="R94">
        <v>7</v>
      </c>
      <c r="S94">
        <v>7</v>
      </c>
      <c r="T94">
        <v>7</v>
      </c>
      <c r="U94">
        <v>7</v>
      </c>
    </row>
    <row r="95" spans="1:21" ht="15.75" x14ac:dyDescent="0.25">
      <c r="A95" s="14">
        <v>2006</v>
      </c>
      <c r="B95" s="1">
        <v>0.15609999999999999</v>
      </c>
      <c r="C95" s="1">
        <v>4.6800000000000001E-2</v>
      </c>
      <c r="D95" s="1">
        <v>1.9599999999999999E-2</v>
      </c>
      <c r="E95" s="15">
        <v>3.2</v>
      </c>
      <c r="Q95">
        <v>7</v>
      </c>
      <c r="R95">
        <v>7</v>
      </c>
      <c r="S95">
        <v>7</v>
      </c>
      <c r="T95">
        <v>7</v>
      </c>
      <c r="U95">
        <v>7</v>
      </c>
    </row>
    <row r="96" spans="1:21" ht="15.75" x14ac:dyDescent="0.25">
      <c r="A96" s="12">
        <v>2007</v>
      </c>
      <c r="B96" s="2">
        <v>5.4800000000000001E-2</v>
      </c>
      <c r="C96" s="2">
        <v>4.6399999999999997E-2</v>
      </c>
      <c r="D96" s="2">
        <v>0.1021</v>
      </c>
      <c r="E96" s="13">
        <v>2.8</v>
      </c>
      <c r="Q96">
        <v>7</v>
      </c>
      <c r="R96">
        <v>7</v>
      </c>
      <c r="S96">
        <v>6</v>
      </c>
      <c r="T96">
        <v>6</v>
      </c>
      <c r="U96">
        <v>6</v>
      </c>
    </row>
    <row r="97" spans="1:21" ht="15.75" x14ac:dyDescent="0.25">
      <c r="A97" s="14">
        <v>2008</v>
      </c>
      <c r="B97" s="1">
        <v>-0.36549999999999999</v>
      </c>
      <c r="C97" s="1">
        <v>1.5900000000000001E-2</v>
      </c>
      <c r="D97" s="1">
        <v>0.20100000000000001</v>
      </c>
      <c r="E97" s="15">
        <v>3.8</v>
      </c>
      <c r="Q97">
        <v>7</v>
      </c>
      <c r="R97">
        <v>6</v>
      </c>
      <c r="S97">
        <v>6</v>
      </c>
      <c r="T97">
        <v>6</v>
      </c>
      <c r="U97">
        <v>5</v>
      </c>
    </row>
    <row r="98" spans="1:21" ht="15.75" x14ac:dyDescent="0.25">
      <c r="A98" s="12">
        <v>2009</v>
      </c>
      <c r="B98" s="2">
        <v>0.25940000000000002</v>
      </c>
      <c r="C98" s="2">
        <v>1.4E-3</v>
      </c>
      <c r="D98" s="2">
        <v>-0.11119999999999999</v>
      </c>
      <c r="E98" s="13">
        <v>-0.4</v>
      </c>
      <c r="Q98">
        <v>7</v>
      </c>
      <c r="R98">
        <v>7</v>
      </c>
      <c r="S98">
        <v>6</v>
      </c>
      <c r="T98">
        <v>6</v>
      </c>
      <c r="U98">
        <v>6</v>
      </c>
    </row>
    <row r="99" spans="1:21" ht="15.75" x14ac:dyDescent="0.25">
      <c r="A99" s="14">
        <v>2010</v>
      </c>
      <c r="B99" s="1">
        <v>0.1482</v>
      </c>
      <c r="C99" s="1">
        <v>1.2999999999999999E-3</v>
      </c>
      <c r="D99" s="1">
        <v>8.4599999999999995E-2</v>
      </c>
      <c r="E99" s="15">
        <v>1.6</v>
      </c>
      <c r="Q99">
        <v>7</v>
      </c>
      <c r="R99">
        <v>7</v>
      </c>
      <c r="S99">
        <v>7</v>
      </c>
      <c r="T99">
        <v>6</v>
      </c>
      <c r="U99">
        <v>6</v>
      </c>
    </row>
    <row r="100" spans="1:21" ht="15.75" x14ac:dyDescent="0.25">
      <c r="A100" s="12">
        <v>2011</v>
      </c>
      <c r="B100" s="2">
        <v>2.1000000000000001E-2</v>
      </c>
      <c r="C100" s="2">
        <v>2.9999999999999997E-4</v>
      </c>
      <c r="D100" s="2">
        <v>0.16039999999999999</v>
      </c>
      <c r="E100" s="13">
        <v>3.2</v>
      </c>
      <c r="S100">
        <v>6</v>
      </c>
      <c r="T100">
        <v>6</v>
      </c>
      <c r="U100">
        <v>6</v>
      </c>
    </row>
    <row r="101" spans="1:21" ht="15.75" x14ac:dyDescent="0.25">
      <c r="A101" s="14">
        <v>2012</v>
      </c>
      <c r="B101" s="1">
        <v>0.15890000000000001</v>
      </c>
      <c r="C101" s="1">
        <v>5.0000000000000001E-4</v>
      </c>
      <c r="D101" s="1">
        <v>2.9700000000000001E-2</v>
      </c>
      <c r="E101" s="15">
        <v>2.1</v>
      </c>
    </row>
    <row r="102" spans="1:21" ht="15.75" x14ac:dyDescent="0.25">
      <c r="A102" s="12">
        <v>2013</v>
      </c>
      <c r="B102" s="2">
        <v>0.32150000000000001</v>
      </c>
      <c r="C102" s="2">
        <v>6.9999999999999999E-4</v>
      </c>
      <c r="D102" s="2">
        <v>-9.0999999999999998E-2</v>
      </c>
      <c r="E102" s="13">
        <v>1.5</v>
      </c>
    </row>
    <row r="103" spans="1:21" ht="15.75" x14ac:dyDescent="0.25">
      <c r="A103" s="14">
        <v>2014</v>
      </c>
      <c r="B103" s="1">
        <v>0.13519999999999999</v>
      </c>
      <c r="C103" s="1">
        <v>5.0000000000000001E-4</v>
      </c>
      <c r="D103" s="1">
        <v>0.1075</v>
      </c>
      <c r="E103" s="16">
        <v>1.6</v>
      </c>
    </row>
    <row r="104" spans="1:21" ht="15.75" x14ac:dyDescent="0.25">
      <c r="A104" s="17">
        <v>2015</v>
      </c>
      <c r="B104" s="2">
        <v>1.38E-2</v>
      </c>
      <c r="C104" s="4">
        <v>2.0999999999999999E-3</v>
      </c>
      <c r="D104" s="2">
        <v>1.2800000000000001E-2</v>
      </c>
      <c r="E104" s="13">
        <v>0.1</v>
      </c>
    </row>
    <row r="105" spans="1:21" ht="15.75" x14ac:dyDescent="0.25">
      <c r="A105" s="18">
        <v>2016</v>
      </c>
      <c r="B105" s="1">
        <v>0.1177</v>
      </c>
      <c r="C105" s="3">
        <v>5.1000000000000004E-3</v>
      </c>
      <c r="D105" s="1">
        <v>6.8999999999999999E-3</v>
      </c>
      <c r="E105" s="16">
        <v>1.3</v>
      </c>
    </row>
    <row r="106" spans="1:21" ht="16.5" thickBot="1" x14ac:dyDescent="0.3">
      <c r="A106" s="19">
        <v>2017</v>
      </c>
      <c r="B106" s="20">
        <v>0.21640000000000001</v>
      </c>
      <c r="C106" s="20">
        <v>1.3899999999999999E-2</v>
      </c>
      <c r="D106" s="20">
        <v>2.8000000000000001E-2</v>
      </c>
      <c r="E106" s="21">
        <v>2.1</v>
      </c>
    </row>
  </sheetData>
  <mergeCells count="5">
    <mergeCell ref="A8:A16"/>
    <mergeCell ref="B8:B16"/>
    <mergeCell ref="C8:C16"/>
    <mergeCell ref="D8:D16"/>
    <mergeCell ref="E8:E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5.calcYearsToFI">
                <anchor moveWithCells="1" sizeWithCells="1">
                  <from>
                    <xdr:col>1</xdr:col>
                    <xdr:colOff>19050</xdr:colOff>
                    <xdr:row>4</xdr:row>
                    <xdr:rowOff>38100</xdr:rowOff>
                  </from>
                  <to>
                    <xdr:col>2</xdr:col>
                    <xdr:colOff>581025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7:L106"/>
  <sheetViews>
    <sheetView workbookViewId="0">
      <selection activeCell="M11" sqref="M11"/>
    </sheetView>
  </sheetViews>
  <sheetFormatPr defaultRowHeight="15" x14ac:dyDescent="0.25"/>
  <cols>
    <col min="6" max="6" width="13.5703125" bestFit="1" customWidth="1"/>
  </cols>
  <sheetData>
    <row r="7" spans="1:12" ht="15.75" thickBot="1" x14ac:dyDescent="0.3"/>
    <row r="8" spans="1:12" x14ac:dyDescent="0.25">
      <c r="A8" s="29" t="s">
        <v>1</v>
      </c>
      <c r="B8" s="30" t="s">
        <v>0</v>
      </c>
      <c r="C8" s="30" t="s">
        <v>4</v>
      </c>
      <c r="D8" s="30" t="s">
        <v>5</v>
      </c>
      <c r="E8" s="31" t="s">
        <v>7</v>
      </c>
    </row>
    <row r="9" spans="1:12" x14ac:dyDescent="0.25">
      <c r="A9" s="23"/>
      <c r="B9" s="25"/>
      <c r="C9" s="25"/>
      <c r="D9" s="25"/>
      <c r="E9" s="27"/>
      <c r="F9" s="37" t="s">
        <v>45</v>
      </c>
      <c r="G9" s="40">
        <v>1</v>
      </c>
    </row>
    <row r="10" spans="1:12" x14ac:dyDescent="0.25">
      <c r="A10" s="23"/>
      <c r="B10" s="25"/>
      <c r="C10" s="25"/>
      <c r="D10" s="25"/>
      <c r="E10" s="27"/>
      <c r="F10" s="37" t="s">
        <v>6</v>
      </c>
      <c r="G10" s="41">
        <v>0.8</v>
      </c>
    </row>
    <row r="11" spans="1:12" x14ac:dyDescent="0.25">
      <c r="A11" s="23"/>
      <c r="B11" s="25"/>
      <c r="C11" s="25"/>
      <c r="D11" s="25"/>
      <c r="E11" s="27"/>
      <c r="F11" s="37" t="s">
        <v>13</v>
      </c>
      <c r="G11" s="42">
        <f>100%-G10</f>
        <v>0.19999999999999996</v>
      </c>
    </row>
    <row r="12" spans="1:12" x14ac:dyDescent="0.25">
      <c r="A12" s="23"/>
      <c r="B12" s="25"/>
      <c r="C12" s="25"/>
      <c r="D12" s="25"/>
      <c r="E12" s="27"/>
    </row>
    <row r="13" spans="1:12" x14ac:dyDescent="0.25">
      <c r="A13" s="23"/>
      <c r="B13" s="25"/>
      <c r="C13" s="25"/>
      <c r="D13" s="25"/>
      <c r="E13" s="27"/>
    </row>
    <row r="14" spans="1:12" x14ac:dyDescent="0.25">
      <c r="A14" s="23"/>
      <c r="B14" s="25"/>
      <c r="C14" s="25"/>
      <c r="D14" s="25"/>
      <c r="E14" s="27"/>
      <c r="G14" s="68" t="s">
        <v>47</v>
      </c>
      <c r="H14" s="68"/>
      <c r="I14" s="68"/>
      <c r="J14" s="68" t="s">
        <v>46</v>
      </c>
      <c r="K14" s="68"/>
      <c r="L14" s="68"/>
    </row>
    <row r="15" spans="1:12" x14ac:dyDescent="0.25">
      <c r="A15" s="23"/>
      <c r="B15" s="25"/>
      <c r="C15" s="25"/>
      <c r="D15" s="25"/>
      <c r="E15" s="27"/>
      <c r="G15" s="37" t="s">
        <v>21</v>
      </c>
      <c r="H15" s="37" t="s">
        <v>44</v>
      </c>
      <c r="I15" s="37" t="s">
        <v>43</v>
      </c>
      <c r="J15" s="37" t="s">
        <v>21</v>
      </c>
      <c r="K15" s="37" t="s">
        <v>44</v>
      </c>
      <c r="L15" s="37" t="s">
        <v>43</v>
      </c>
    </row>
    <row r="16" spans="1:12" ht="15.75" thickBot="1" x14ac:dyDescent="0.3">
      <c r="A16" s="24"/>
      <c r="B16" s="26"/>
      <c r="C16" s="26"/>
      <c r="D16" s="26"/>
      <c r="E16" s="28"/>
      <c r="G16">
        <f>G9*G$10</f>
        <v>0.8</v>
      </c>
      <c r="H16">
        <f>G9*G$11</f>
        <v>0.19999999999999996</v>
      </c>
      <c r="I16">
        <f>SUM(G16:H16)</f>
        <v>1</v>
      </c>
      <c r="J16">
        <f>G9*G$10</f>
        <v>0.8</v>
      </c>
      <c r="K16">
        <f>G9*G$11</f>
        <v>0.19999999999999996</v>
      </c>
      <c r="L16">
        <f>SUM(J16:K16)</f>
        <v>1</v>
      </c>
    </row>
    <row r="17" spans="1:12" ht="15.75" x14ac:dyDescent="0.25">
      <c r="A17" s="10">
        <v>1928</v>
      </c>
      <c r="B17" s="7">
        <v>0.43809999999999999</v>
      </c>
      <c r="C17" s="7">
        <v>3.0800000000000001E-2</v>
      </c>
      <c r="D17" s="7">
        <v>8.3999999999999995E-3</v>
      </c>
      <c r="E17" s="11">
        <v>-1.7</v>
      </c>
      <c r="G17">
        <f>G16*(1+B17)</f>
        <v>1.1504799999999999</v>
      </c>
      <c r="H17">
        <f>H16*(1+D17)</f>
        <v>0.20167999999999994</v>
      </c>
      <c r="I17">
        <f>SUM(G17:H17)</f>
        <v>1.3521599999999998</v>
      </c>
      <c r="J17">
        <f>J16*(1+B17)*(1-($E17*0.01))</f>
        <v>1.1700381599999998</v>
      </c>
      <c r="K17">
        <f>K16*(1+C17)*(1-($E17*0.01))</f>
        <v>0.20966471999999994</v>
      </c>
      <c r="L17">
        <f>SUM(J17:K17)</f>
        <v>1.3797028799999997</v>
      </c>
    </row>
    <row r="18" spans="1:12" ht="15.75" x14ac:dyDescent="0.25">
      <c r="A18" s="12">
        <v>1929</v>
      </c>
      <c r="B18" s="2">
        <v>-8.3000000000000004E-2</v>
      </c>
      <c r="C18" s="2">
        <v>3.1600000000000003E-2</v>
      </c>
      <c r="D18" s="2">
        <v>4.2000000000000003E-2</v>
      </c>
      <c r="E18" s="13">
        <v>0</v>
      </c>
      <c r="G18">
        <f t="shared" ref="G18:G81" si="0">G17*(1+B18)</f>
        <v>1.05499016</v>
      </c>
      <c r="H18">
        <f t="shared" ref="H18:H81" si="1">H17*(1+D18)</f>
        <v>0.21015055999999996</v>
      </c>
      <c r="I18">
        <f t="shared" ref="I18:I81" si="2">SUM(G18:H18)</f>
        <v>1.26514072</v>
      </c>
      <c r="J18">
        <f>J17*(1+B18)*(1-($E18*0.01))</f>
        <v>1.07292499272</v>
      </c>
      <c r="K18">
        <f>K17*(1+C18)*(1-($E18*0.01))</f>
        <v>0.21629012515199997</v>
      </c>
      <c r="L18">
        <f>SUM(J18:K18)</f>
        <v>1.2892151178719999</v>
      </c>
    </row>
    <row r="19" spans="1:12" ht="15.75" x14ac:dyDescent="0.25">
      <c r="A19" s="14">
        <v>1930</v>
      </c>
      <c r="B19" s="1">
        <v>-0.25119999999999998</v>
      </c>
      <c r="C19" s="1">
        <v>4.5499999999999999E-2</v>
      </c>
      <c r="D19" s="1">
        <v>4.5400000000000003E-2</v>
      </c>
      <c r="E19" s="15">
        <v>-2.2999999999999998</v>
      </c>
      <c r="G19">
        <f t="shared" si="0"/>
        <v>0.78997663180800004</v>
      </c>
      <c r="H19">
        <f t="shared" si="1"/>
        <v>0.21969139542399999</v>
      </c>
      <c r="I19">
        <f t="shared" si="2"/>
        <v>1.009668027232</v>
      </c>
      <c r="J19">
        <f>J18*(1+B19)*(1-($E19*0.01))</f>
        <v>0.8218845779433569</v>
      </c>
      <c r="K19">
        <f>K18*(1+C19)*(1-($E19*0.01))</f>
        <v>0.23133234634088354</v>
      </c>
      <c r="L19">
        <f t="shared" ref="L19:L82" si="3">SUM(J19:K19)</f>
        <v>1.0532169242842404</v>
      </c>
    </row>
    <row r="20" spans="1:12" ht="15.75" x14ac:dyDescent="0.25">
      <c r="A20" s="12">
        <v>1931</v>
      </c>
      <c r="B20" s="2">
        <v>-0.43840000000000001</v>
      </c>
      <c r="C20" s="2">
        <v>2.3099999999999999E-2</v>
      </c>
      <c r="D20" s="2">
        <v>-2.5600000000000001E-2</v>
      </c>
      <c r="E20" s="13">
        <v>-9</v>
      </c>
      <c r="G20">
        <f t="shared" si="0"/>
        <v>0.44365087642337281</v>
      </c>
      <c r="H20">
        <f t="shared" si="1"/>
        <v>0.2140672957011456</v>
      </c>
      <c r="I20">
        <f t="shared" si="2"/>
        <v>0.65771817212451844</v>
      </c>
      <c r="J20">
        <f>J19*(1+B20)*(1-($E20*0.01))</f>
        <v>0.50311171308055835</v>
      </c>
      <c r="K20">
        <f>K19*(1+C20)*(1-($E20*0.01))</f>
        <v>0.25797697466008013</v>
      </c>
      <c r="L20">
        <f t="shared" si="3"/>
        <v>0.76108868774063843</v>
      </c>
    </row>
    <row r="21" spans="1:12" ht="15.75" x14ac:dyDescent="0.25">
      <c r="A21" s="14">
        <v>1932</v>
      </c>
      <c r="B21" s="1">
        <v>-8.6400000000000005E-2</v>
      </c>
      <c r="C21" s="1">
        <v>1.0699999999999999E-2</v>
      </c>
      <c r="D21" s="1">
        <v>8.7900000000000006E-2</v>
      </c>
      <c r="E21" s="15">
        <v>-9.9</v>
      </c>
      <c r="G21">
        <f t="shared" si="0"/>
        <v>0.40531944070039339</v>
      </c>
      <c r="H21">
        <f t="shared" si="1"/>
        <v>0.23288381099327632</v>
      </c>
      <c r="I21">
        <f t="shared" si="2"/>
        <v>0.63820325169366976</v>
      </c>
      <c r="J21">
        <f>J20*(1+B21)*(1-($E21*0.01))</f>
        <v>0.50514750431636746</v>
      </c>
      <c r="K21">
        <f>K20*(1+C21)*(1-($E21*0.01))</f>
        <v>0.28655032378954831</v>
      </c>
      <c r="L21">
        <f t="shared" si="3"/>
        <v>0.79169782810591571</v>
      </c>
    </row>
    <row r="22" spans="1:12" ht="15.75" x14ac:dyDescent="0.25">
      <c r="A22" s="12">
        <v>1933</v>
      </c>
      <c r="B22" s="2">
        <v>0.49980000000000002</v>
      </c>
      <c r="C22" s="2">
        <v>9.5999999999999992E-3</v>
      </c>
      <c r="D22" s="2">
        <v>1.8599999999999998E-2</v>
      </c>
      <c r="E22" s="13">
        <v>-5.0999999999999996</v>
      </c>
      <c r="G22">
        <f t="shared" si="0"/>
        <v>0.60789809716245002</v>
      </c>
      <c r="H22">
        <f t="shared" si="1"/>
        <v>0.23721544987775126</v>
      </c>
      <c r="I22">
        <f t="shared" si="2"/>
        <v>0.84511354704020125</v>
      </c>
      <c r="J22">
        <f>J21*(1+B22)*(1-($E22*0.01))</f>
        <v>0.79625885854934597</v>
      </c>
      <c r="K22">
        <f>K21*(1+C22)*(1-($E22*0.01))</f>
        <v>0.30405556844972231</v>
      </c>
      <c r="L22">
        <f t="shared" si="3"/>
        <v>1.1003144269990683</v>
      </c>
    </row>
    <row r="23" spans="1:12" ht="15.75" x14ac:dyDescent="0.25">
      <c r="A23" s="14">
        <v>1934</v>
      </c>
      <c r="B23" s="1">
        <v>-1.1900000000000001E-2</v>
      </c>
      <c r="C23" s="1">
        <v>3.2000000000000002E-3</v>
      </c>
      <c r="D23" s="1">
        <v>7.9600000000000004E-2</v>
      </c>
      <c r="E23" s="15">
        <v>3.1</v>
      </c>
      <c r="G23">
        <f t="shared" si="0"/>
        <v>0.60066410980621687</v>
      </c>
      <c r="H23">
        <f t="shared" si="1"/>
        <v>0.25609779968802027</v>
      </c>
      <c r="I23">
        <f t="shared" si="2"/>
        <v>0.85676190949423714</v>
      </c>
      <c r="J23">
        <f>J22*(1+B23)*(1-($E23*0.01))</f>
        <v>0.76239309341049788</v>
      </c>
      <c r="K23">
        <f>K22*(1+C23)*(1-($E23*0.01))</f>
        <v>0.29557266133442983</v>
      </c>
      <c r="L23">
        <f t="shared" si="3"/>
        <v>1.0579657547449277</v>
      </c>
    </row>
    <row r="24" spans="1:12" ht="15.75" x14ac:dyDescent="0.25">
      <c r="A24" s="12">
        <v>1935</v>
      </c>
      <c r="B24" s="2">
        <v>0.46739999999999998</v>
      </c>
      <c r="C24" s="2">
        <v>1.8E-3</v>
      </c>
      <c r="D24" s="2">
        <v>4.4699999999999997E-2</v>
      </c>
      <c r="E24" s="13">
        <v>2.2000000000000002</v>
      </c>
      <c r="G24">
        <f t="shared" si="0"/>
        <v>0.88141451472964261</v>
      </c>
      <c r="H24">
        <f t="shared" si="1"/>
        <v>0.26754537133407474</v>
      </c>
      <c r="I24">
        <f t="shared" si="2"/>
        <v>1.1489598860637174</v>
      </c>
      <c r="J24">
        <f>J23*(1+B24)*(1-($E24*0.01))</f>
        <v>1.0941234415146122</v>
      </c>
      <c r="K24">
        <f>K23*(1+C24)*(1-($E24*0.01))</f>
        <v>0.28959038889808553</v>
      </c>
      <c r="L24">
        <f t="shared" si="3"/>
        <v>1.3837138304126977</v>
      </c>
    </row>
    <row r="25" spans="1:12" ht="15.75" x14ac:dyDescent="0.25">
      <c r="A25" s="14">
        <v>1936</v>
      </c>
      <c r="B25" s="1">
        <v>0.31940000000000002</v>
      </c>
      <c r="C25" s="1">
        <v>1.6999999999999999E-3</v>
      </c>
      <c r="D25" s="1">
        <v>5.0200000000000002E-2</v>
      </c>
      <c r="E25" s="15">
        <v>1.5</v>
      </c>
      <c r="G25">
        <f t="shared" si="0"/>
        <v>1.1629383107342903</v>
      </c>
      <c r="H25">
        <f t="shared" si="1"/>
        <v>0.2809761489750453</v>
      </c>
      <c r="I25">
        <f t="shared" si="2"/>
        <v>1.4439144597093356</v>
      </c>
      <c r="J25">
        <f>J24*(1+B25)*(1-($E25*0.01))</f>
        <v>1.4219326717033633</v>
      </c>
      <c r="K25">
        <f>K24*(1+C25)*(1-($E25*0.01))</f>
        <v>0.28573145217082407</v>
      </c>
      <c r="L25">
        <f t="shared" si="3"/>
        <v>1.7076641238741874</v>
      </c>
    </row>
    <row r="26" spans="1:12" ht="15.75" x14ac:dyDescent="0.25">
      <c r="A26" s="12">
        <v>1937</v>
      </c>
      <c r="B26" s="2">
        <v>-0.35339999999999999</v>
      </c>
      <c r="C26" s="2">
        <v>3.0000000000000001E-3</v>
      </c>
      <c r="D26" s="2">
        <v>1.38E-2</v>
      </c>
      <c r="E26" s="13">
        <v>3.6</v>
      </c>
      <c r="G26">
        <f t="shared" si="0"/>
        <v>0.75195591172079224</v>
      </c>
      <c r="H26">
        <f t="shared" si="1"/>
        <v>0.28485361983090096</v>
      </c>
      <c r="I26">
        <f t="shared" si="2"/>
        <v>1.0368095315516932</v>
      </c>
      <c r="J26">
        <f>J25*(1+B26)*(1-($E26*0.01))</f>
        <v>0.88632248556455262</v>
      </c>
      <c r="K26">
        <f>K25*(1+C26)*(1-($E26*0.01))</f>
        <v>0.27627145525235236</v>
      </c>
      <c r="L26">
        <f t="shared" si="3"/>
        <v>1.162593940816905</v>
      </c>
    </row>
    <row r="27" spans="1:12" ht="15.75" x14ac:dyDescent="0.25">
      <c r="A27" s="14">
        <v>1938</v>
      </c>
      <c r="B27" s="1">
        <v>0.2928</v>
      </c>
      <c r="C27" s="1">
        <v>8.0000000000000004E-4</v>
      </c>
      <c r="D27" s="1">
        <v>4.2099999999999999E-2</v>
      </c>
      <c r="E27" s="15">
        <v>-2.1</v>
      </c>
      <c r="G27">
        <f t="shared" si="0"/>
        <v>0.97212860267264012</v>
      </c>
      <c r="H27">
        <f t="shared" si="1"/>
        <v>0.29684595722578189</v>
      </c>
      <c r="I27">
        <f t="shared" si="2"/>
        <v>1.2689745598984219</v>
      </c>
      <c r="J27">
        <f>J26*(1+B27)*(1-($E27*0.01))</f>
        <v>1.1699003012339484</v>
      </c>
      <c r="K27">
        <f>K26*(1+C27)*(1-($E27*0.01))</f>
        <v>0.28229881433730186</v>
      </c>
      <c r="L27">
        <f t="shared" si="3"/>
        <v>1.4521991155712501</v>
      </c>
    </row>
    <row r="28" spans="1:12" ht="15.75" x14ac:dyDescent="0.25">
      <c r="A28" s="12">
        <v>1939</v>
      </c>
      <c r="B28" s="2">
        <v>-1.0999999999999999E-2</v>
      </c>
      <c r="C28" s="2">
        <v>4.0000000000000002E-4</v>
      </c>
      <c r="D28" s="2">
        <v>4.41E-2</v>
      </c>
      <c r="E28" s="13">
        <v>-1.4</v>
      </c>
      <c r="G28">
        <f t="shared" si="0"/>
        <v>0.96143518804324102</v>
      </c>
      <c r="H28">
        <f t="shared" si="1"/>
        <v>0.30993686393943887</v>
      </c>
      <c r="I28">
        <f t="shared" si="2"/>
        <v>1.2713720519826799</v>
      </c>
      <c r="J28">
        <f>J27*(1+B28)*(1-($E28*0.01))</f>
        <v>1.1732298374912602</v>
      </c>
      <c r="K28">
        <f>K27*(1+C28)*(1-($E28*0.01))</f>
        <v>0.28636549813711926</v>
      </c>
      <c r="L28">
        <f t="shared" si="3"/>
        <v>1.4595953356283795</v>
      </c>
    </row>
    <row r="29" spans="1:12" ht="15.75" x14ac:dyDescent="0.25">
      <c r="A29" s="14">
        <v>1940</v>
      </c>
      <c r="B29" s="1">
        <v>-0.1067</v>
      </c>
      <c r="C29" s="1">
        <v>2.9999999999999997E-4</v>
      </c>
      <c r="D29" s="1">
        <v>5.3999999999999999E-2</v>
      </c>
      <c r="E29" s="15">
        <v>0.7</v>
      </c>
      <c r="G29">
        <f t="shared" si="0"/>
        <v>0.85885005347902721</v>
      </c>
      <c r="H29">
        <f t="shared" si="1"/>
        <v>0.32667345459216857</v>
      </c>
      <c r="I29">
        <f t="shared" si="2"/>
        <v>1.1855235080711957</v>
      </c>
      <c r="J29">
        <f>J28*(1+B29)*(1-($E29*0.01))</f>
        <v>1.0407098903341261</v>
      </c>
      <c r="K29">
        <f>K28*(1+C29)*(1-($E29*0.01))</f>
        <v>0.28444624793205442</v>
      </c>
      <c r="L29">
        <f t="shared" si="3"/>
        <v>1.3251561382661805</v>
      </c>
    </row>
    <row r="30" spans="1:12" ht="15.75" x14ac:dyDescent="0.25">
      <c r="A30" s="12">
        <v>1941</v>
      </c>
      <c r="B30" s="2">
        <v>-0.12770000000000001</v>
      </c>
      <c r="C30" s="2">
        <v>8.0000000000000004E-4</v>
      </c>
      <c r="D30" s="2">
        <v>-2.0199999999999999E-2</v>
      </c>
      <c r="E30" s="13">
        <v>5</v>
      </c>
      <c r="G30">
        <f t="shared" si="0"/>
        <v>0.74917490164975542</v>
      </c>
      <c r="H30">
        <f t="shared" si="1"/>
        <v>0.32007465080940678</v>
      </c>
      <c r="I30">
        <f t="shared" si="2"/>
        <v>1.0692495524591621</v>
      </c>
      <c r="J30">
        <f>J29*(1+B30)*(1-($E30*0.01))</f>
        <v>0.86242067547153523</v>
      </c>
      <c r="K30">
        <f>K29*(1+C30)*(1-($E30*0.01))</f>
        <v>0.27044011468388007</v>
      </c>
      <c r="L30">
        <f t="shared" si="3"/>
        <v>1.1328607901554153</v>
      </c>
    </row>
    <row r="31" spans="1:12" ht="15.75" x14ac:dyDescent="0.25">
      <c r="A31" s="14">
        <v>1942</v>
      </c>
      <c r="B31" s="1">
        <v>0.19170000000000001</v>
      </c>
      <c r="C31" s="1">
        <v>3.3999999999999998E-3</v>
      </c>
      <c r="D31" s="1">
        <v>2.29E-2</v>
      </c>
      <c r="E31" s="15">
        <v>10.9</v>
      </c>
      <c r="G31">
        <f t="shared" si="0"/>
        <v>0.89279173029601355</v>
      </c>
      <c r="H31">
        <f t="shared" si="1"/>
        <v>0.32740436031294218</v>
      </c>
      <c r="I31">
        <f t="shared" si="2"/>
        <v>1.2201960906089557</v>
      </c>
      <c r="J31">
        <f>J30*(1+B31)*(1-($E31*0.01))</f>
        <v>0.9157223265928508</v>
      </c>
      <c r="K31">
        <f>K30*(1+C31)*(1-($E31*0.01))</f>
        <v>0.24178141346676052</v>
      </c>
      <c r="L31">
        <f t="shared" si="3"/>
        <v>1.1575037400596113</v>
      </c>
    </row>
    <row r="32" spans="1:12" ht="15.75" x14ac:dyDescent="0.25">
      <c r="A32" s="12">
        <v>1943</v>
      </c>
      <c r="B32" s="2">
        <v>0.25059999999999999</v>
      </c>
      <c r="C32" s="2">
        <v>3.8E-3</v>
      </c>
      <c r="D32" s="2">
        <v>2.4899999999999999E-2</v>
      </c>
      <c r="E32" s="13">
        <v>6.1</v>
      </c>
      <c r="G32">
        <f t="shared" si="0"/>
        <v>1.1165253379081945</v>
      </c>
      <c r="H32">
        <f t="shared" si="1"/>
        <v>0.33555672888473442</v>
      </c>
      <c r="I32">
        <f t="shared" si="2"/>
        <v>1.4520820667929288</v>
      </c>
      <c r="J32">
        <f>J31*(1+B32)*(1-($E32*0.01))</f>
        <v>1.0753449987971611</v>
      </c>
      <c r="K32">
        <f>K31*(1+C32)*(1-($E32*0.01))</f>
        <v>0.22789547168482024</v>
      </c>
      <c r="L32">
        <f t="shared" si="3"/>
        <v>1.3032404704819813</v>
      </c>
    </row>
    <row r="33" spans="1:12" ht="15.75" x14ac:dyDescent="0.25">
      <c r="A33" s="14">
        <v>1944</v>
      </c>
      <c r="B33" s="1">
        <v>0.1903</v>
      </c>
      <c r="C33" s="1">
        <v>3.8E-3</v>
      </c>
      <c r="D33" s="1">
        <v>2.58E-2</v>
      </c>
      <c r="E33" s="15">
        <v>1.7</v>
      </c>
      <c r="G33">
        <f t="shared" si="0"/>
        <v>1.3290001097121238</v>
      </c>
      <c r="H33">
        <f t="shared" si="1"/>
        <v>0.3442140924899606</v>
      </c>
      <c r="I33">
        <f t="shared" si="2"/>
        <v>1.6732142022020844</v>
      </c>
      <c r="J33">
        <f>J32*(1+B33)*(1-($E33*0.01))</f>
        <v>1.2582234384831004</v>
      </c>
      <c r="K33">
        <f>K32*(1+C33)*(1-($E33*0.01))</f>
        <v>0.22487252941110977</v>
      </c>
      <c r="L33">
        <f t="shared" si="3"/>
        <v>1.4830959678942102</v>
      </c>
    </row>
    <row r="34" spans="1:12" ht="15.75" x14ac:dyDescent="0.25">
      <c r="A34" s="12">
        <v>1945</v>
      </c>
      <c r="B34" s="2">
        <v>0.35820000000000002</v>
      </c>
      <c r="C34" s="2">
        <v>3.8E-3</v>
      </c>
      <c r="D34" s="2">
        <v>3.7999999999999999E-2</v>
      </c>
      <c r="E34" s="13">
        <v>2.2999999999999998</v>
      </c>
      <c r="G34">
        <f t="shared" si="0"/>
        <v>1.8050479490110067</v>
      </c>
      <c r="H34">
        <f t="shared" si="1"/>
        <v>0.35729422800457911</v>
      </c>
      <c r="I34">
        <f t="shared" si="2"/>
        <v>2.162342177015586</v>
      </c>
      <c r="J34">
        <f>J33*(1+B34)*(1-($E34*0.01))</f>
        <v>1.6696139354423487</v>
      </c>
      <c r="K34">
        <f>K33*(1+C34)*(1-($E34*0.01))</f>
        <v>0.22053532298734593</v>
      </c>
      <c r="L34">
        <f t="shared" si="3"/>
        <v>1.8901492584296946</v>
      </c>
    </row>
    <row r="35" spans="1:12" ht="15.75" x14ac:dyDescent="0.25">
      <c r="A35" s="14">
        <v>1946</v>
      </c>
      <c r="B35" s="1">
        <v>-8.43E-2</v>
      </c>
      <c r="C35" s="1">
        <v>3.8E-3</v>
      </c>
      <c r="D35" s="1">
        <v>3.1300000000000001E-2</v>
      </c>
      <c r="E35" s="15">
        <v>8.3000000000000007</v>
      </c>
      <c r="G35">
        <f t="shared" si="0"/>
        <v>1.6528824069093788</v>
      </c>
      <c r="H35">
        <f t="shared" si="1"/>
        <v>0.36847753734112249</v>
      </c>
      <c r="I35">
        <f t="shared" si="2"/>
        <v>2.0213599442505013</v>
      </c>
      <c r="J35">
        <f>J34*(1+B35)*(1-($E35*0.01))</f>
        <v>1.4019696457877404</v>
      </c>
      <c r="K35">
        <f>K34*(1+C35)*(1-($E35*0.01))</f>
        <v>0.20299936856587794</v>
      </c>
      <c r="L35">
        <f t="shared" si="3"/>
        <v>1.6049690143536184</v>
      </c>
    </row>
    <row r="36" spans="1:12" ht="15.75" x14ac:dyDescent="0.25">
      <c r="A36" s="12">
        <v>1947</v>
      </c>
      <c r="B36" s="2">
        <v>5.1999999999999998E-2</v>
      </c>
      <c r="C36" s="2">
        <v>5.7000000000000002E-3</v>
      </c>
      <c r="D36" s="2">
        <v>9.1999999999999998E-3</v>
      </c>
      <c r="E36" s="13">
        <v>14.4</v>
      </c>
      <c r="G36">
        <f t="shared" si="0"/>
        <v>1.7388322920686665</v>
      </c>
      <c r="H36">
        <f t="shared" si="1"/>
        <v>0.37186753068466083</v>
      </c>
      <c r="I36">
        <f t="shared" si="2"/>
        <v>2.1106998227533271</v>
      </c>
      <c r="J36">
        <f>J35*(1+B36)*(1-($E36*0.01))</f>
        <v>1.2624904896676097</v>
      </c>
      <c r="K36">
        <f>K35*(1+C36)*(1-($E36*0.01))</f>
        <v>0.17475793401149814</v>
      </c>
      <c r="L36">
        <f t="shared" si="3"/>
        <v>1.4372484236791079</v>
      </c>
    </row>
    <row r="37" spans="1:12" ht="15.75" x14ac:dyDescent="0.25">
      <c r="A37" s="14">
        <v>1948</v>
      </c>
      <c r="B37" s="1">
        <v>5.7000000000000002E-2</v>
      </c>
      <c r="C37" s="1">
        <v>1.0200000000000001E-2</v>
      </c>
      <c r="D37" s="1">
        <v>1.95E-2</v>
      </c>
      <c r="E37" s="15">
        <v>8.1</v>
      </c>
      <c r="G37">
        <f t="shared" si="0"/>
        <v>1.8379457327165805</v>
      </c>
      <c r="H37">
        <f t="shared" si="1"/>
        <v>0.37911894753301173</v>
      </c>
      <c r="I37">
        <f t="shared" si="2"/>
        <v>2.2170646802495924</v>
      </c>
      <c r="J37">
        <f>J36*(1+B37)*(1-($E37*0.01))</f>
        <v>1.2263617993247917</v>
      </c>
      <c r="K37">
        <f>K36*(1+C37)*(1-($E37*0.01))</f>
        <v>0.16224068727840377</v>
      </c>
      <c r="L37">
        <f t="shared" si="3"/>
        <v>1.3886024866031954</v>
      </c>
    </row>
    <row r="38" spans="1:12" ht="15.75" x14ac:dyDescent="0.25">
      <c r="A38" s="12">
        <v>1949</v>
      </c>
      <c r="B38" s="2">
        <v>0.183</v>
      </c>
      <c r="C38" s="2">
        <v>1.0999999999999999E-2</v>
      </c>
      <c r="D38" s="2">
        <v>4.6600000000000003E-2</v>
      </c>
      <c r="E38" s="13">
        <v>-1.2</v>
      </c>
      <c r="G38">
        <f t="shared" si="0"/>
        <v>2.1742898018037149</v>
      </c>
      <c r="H38">
        <f t="shared" si="1"/>
        <v>0.39678589048805007</v>
      </c>
      <c r="I38">
        <f t="shared" si="2"/>
        <v>2.5710756922917648</v>
      </c>
      <c r="J38">
        <f>J37*(1+B38)*(1-($E38*0.01))</f>
        <v>1.4681954407044435</v>
      </c>
      <c r="K38">
        <f>K37*(1+C38)*(1-($E38*0.01))</f>
        <v>0.16599363885652776</v>
      </c>
      <c r="L38">
        <f t="shared" si="3"/>
        <v>1.6341890795609713</v>
      </c>
    </row>
    <row r="39" spans="1:12" ht="15.75" x14ac:dyDescent="0.25">
      <c r="A39" s="14">
        <v>1950</v>
      </c>
      <c r="B39" s="1">
        <v>0.30809999999999998</v>
      </c>
      <c r="C39" s="1">
        <v>1.17E-2</v>
      </c>
      <c r="D39" s="1">
        <v>4.3E-3</v>
      </c>
      <c r="E39" s="15">
        <v>1.3</v>
      </c>
      <c r="G39">
        <f t="shared" si="0"/>
        <v>2.8441884897394396</v>
      </c>
      <c r="H39">
        <f t="shared" si="1"/>
        <v>0.39849206981714869</v>
      </c>
      <c r="I39">
        <f t="shared" si="2"/>
        <v>3.2426805595565882</v>
      </c>
      <c r="J39">
        <f>J38*(1+B39)*(1-($E39*0.01))</f>
        <v>1.8955793520576714</v>
      </c>
      <c r="K39">
        <f>K38*(1+C39)*(1-($E39*0.01))</f>
        <v>0.16575259949354421</v>
      </c>
      <c r="L39">
        <f t="shared" si="3"/>
        <v>2.0613319515512156</v>
      </c>
    </row>
    <row r="40" spans="1:12" ht="15.75" x14ac:dyDescent="0.25">
      <c r="A40" s="12">
        <v>1951</v>
      </c>
      <c r="B40" s="2">
        <v>0.23680000000000001</v>
      </c>
      <c r="C40" s="2">
        <v>1.4800000000000001E-2</v>
      </c>
      <c r="D40" s="2">
        <v>-3.0000000000000001E-3</v>
      </c>
      <c r="E40" s="13">
        <v>7.9</v>
      </c>
      <c r="G40">
        <f t="shared" si="0"/>
        <v>3.5176923241097393</v>
      </c>
      <c r="H40">
        <f t="shared" si="1"/>
        <v>0.39729659360769726</v>
      </c>
      <c r="I40">
        <f t="shared" si="2"/>
        <v>3.9149889177174364</v>
      </c>
      <c r="J40">
        <f>J39*(1+B40)*(1-($E40*0.01))</f>
        <v>2.1592407917575587</v>
      </c>
      <c r="K40">
        <f>K39*(1+C40)*(1-($E40*0.01))</f>
        <v>0.1549174846667308</v>
      </c>
      <c r="L40">
        <f t="shared" si="3"/>
        <v>2.3141582764242896</v>
      </c>
    </row>
    <row r="41" spans="1:12" ht="15.75" x14ac:dyDescent="0.25">
      <c r="A41" s="14">
        <v>1952</v>
      </c>
      <c r="B41" s="1">
        <v>0.18149999999999999</v>
      </c>
      <c r="C41" s="1">
        <v>1.67E-2</v>
      </c>
      <c r="D41" s="1">
        <v>2.2700000000000001E-2</v>
      </c>
      <c r="E41" s="15">
        <v>1.9</v>
      </c>
      <c r="G41">
        <f t="shared" si="0"/>
        <v>4.1561534809356573</v>
      </c>
      <c r="H41">
        <f t="shared" si="1"/>
        <v>0.40631522628259198</v>
      </c>
      <c r="I41">
        <f t="shared" si="2"/>
        <v>4.5624687072182493</v>
      </c>
      <c r="J41">
        <f>J40*(1+B41)*(1-($E41*0.01))</f>
        <v>2.502671278547786</v>
      </c>
      <c r="K41">
        <f>K40*(1+C41)*(1-($E41*0.01))</f>
        <v>0.15451201913411255</v>
      </c>
      <c r="L41">
        <f t="shared" si="3"/>
        <v>2.6571832976818985</v>
      </c>
    </row>
    <row r="42" spans="1:12" ht="15.75" x14ac:dyDescent="0.25">
      <c r="A42" s="12">
        <v>1953</v>
      </c>
      <c r="B42" s="2">
        <v>-1.21E-2</v>
      </c>
      <c r="C42" s="2">
        <v>1.89E-2</v>
      </c>
      <c r="D42" s="2">
        <v>4.1399999999999999E-2</v>
      </c>
      <c r="E42" s="13">
        <v>0.8</v>
      </c>
      <c r="G42">
        <f t="shared" si="0"/>
        <v>4.105864023816336</v>
      </c>
      <c r="H42">
        <f t="shared" si="1"/>
        <v>0.42313667665069132</v>
      </c>
      <c r="I42">
        <f t="shared" si="2"/>
        <v>4.5290007004670274</v>
      </c>
      <c r="J42">
        <f>J41*(1+B42)*(1-($E42*0.01))</f>
        <v>2.4526098444287388</v>
      </c>
      <c r="K42">
        <f>K41*(1+C42)*(1-($E42*0.01))</f>
        <v>0.15617283792538128</v>
      </c>
      <c r="L42">
        <f t="shared" si="3"/>
        <v>2.60878268235412</v>
      </c>
    </row>
    <row r="43" spans="1:12" ht="15.75" x14ac:dyDescent="0.25">
      <c r="A43" s="14">
        <v>1954</v>
      </c>
      <c r="B43" s="1">
        <v>0.52559999999999996</v>
      </c>
      <c r="C43" s="1">
        <v>9.5999999999999992E-3</v>
      </c>
      <c r="D43" s="1">
        <v>3.2899999999999999E-2</v>
      </c>
      <c r="E43" s="15">
        <v>0.7</v>
      </c>
      <c r="G43">
        <f t="shared" si="0"/>
        <v>6.2639061547342019</v>
      </c>
      <c r="H43">
        <f t="shared" si="1"/>
        <v>0.43705787331249901</v>
      </c>
      <c r="I43">
        <f t="shared" si="2"/>
        <v>6.7009640280467009</v>
      </c>
      <c r="J43">
        <f>J42*(1+B43)*(1-($E43*0.01))</f>
        <v>3.7155096676098602</v>
      </c>
      <c r="K43">
        <f>K42*(1+C43)*(1-($E43*0.01))</f>
        <v>0.1565683924892787</v>
      </c>
      <c r="L43">
        <f t="shared" si="3"/>
        <v>3.8720780600991391</v>
      </c>
    </row>
    <row r="44" spans="1:12" ht="15.75" x14ac:dyDescent="0.25">
      <c r="A44" s="12">
        <v>1955</v>
      </c>
      <c r="B44" s="2">
        <v>0.32600000000000001</v>
      </c>
      <c r="C44" s="2">
        <v>1.66E-2</v>
      </c>
      <c r="D44" s="2">
        <v>-1.34E-2</v>
      </c>
      <c r="E44" s="13">
        <v>-0.4</v>
      </c>
      <c r="G44">
        <f t="shared" si="0"/>
        <v>8.3059395611775528</v>
      </c>
      <c r="H44">
        <f t="shared" si="1"/>
        <v>0.43120129781011152</v>
      </c>
      <c r="I44">
        <f t="shared" si="2"/>
        <v>8.7371408589876651</v>
      </c>
      <c r="J44">
        <f>J43*(1+B44)*(1-($E44*0.01))</f>
        <v>4.9464728825276776</v>
      </c>
      <c r="K44">
        <f>K43*(1+C44)*(1-($E44*0.01))</f>
        <v>0.15980409751581912</v>
      </c>
      <c r="L44">
        <f t="shared" si="3"/>
        <v>5.1062769800434964</v>
      </c>
    </row>
    <row r="45" spans="1:12" ht="15.75" x14ac:dyDescent="0.25">
      <c r="A45" s="14">
        <v>1956</v>
      </c>
      <c r="B45" s="1">
        <v>7.4399999999999994E-2</v>
      </c>
      <c r="C45" s="1">
        <v>2.5600000000000001E-2</v>
      </c>
      <c r="D45" s="1">
        <v>-2.2599999999999999E-2</v>
      </c>
      <c r="E45" s="15">
        <v>1.5</v>
      </c>
      <c r="G45">
        <f t="shared" si="0"/>
        <v>8.9239014645291626</v>
      </c>
      <c r="H45">
        <f t="shared" si="1"/>
        <v>0.421456148479603</v>
      </c>
      <c r="I45">
        <f t="shared" si="2"/>
        <v>9.3453576130087654</v>
      </c>
      <c r="J45">
        <f>J44*(1+B45)*(1-($E45*0.01))</f>
        <v>5.2347731080129201</v>
      </c>
      <c r="K45">
        <f>K44*(1+C45)*(1-($E45*0.01))</f>
        <v>0.16143665617604072</v>
      </c>
      <c r="L45">
        <f t="shared" si="3"/>
        <v>5.3962097641889608</v>
      </c>
    </row>
    <row r="46" spans="1:12" ht="15.75" x14ac:dyDescent="0.25">
      <c r="A46" s="12">
        <v>1957</v>
      </c>
      <c r="B46" s="2">
        <v>-0.1046</v>
      </c>
      <c r="C46" s="2">
        <v>3.2300000000000002E-2</v>
      </c>
      <c r="D46" s="2">
        <v>6.8000000000000005E-2</v>
      </c>
      <c r="E46" s="13">
        <v>3.3</v>
      </c>
      <c r="G46">
        <f t="shared" si="0"/>
        <v>7.9904613713394115</v>
      </c>
      <c r="H46">
        <f t="shared" si="1"/>
        <v>0.45011516657621603</v>
      </c>
      <c r="I46">
        <f t="shared" si="2"/>
        <v>8.4405765379156268</v>
      </c>
      <c r="J46">
        <f>J45*(1+B46)*(1-($E46*0.01))</f>
        <v>4.5325377181645807</v>
      </c>
      <c r="K46">
        <f>K45*(1+C46)*(1-($E46*0.01))</f>
        <v>0.16115157518489945</v>
      </c>
      <c r="L46">
        <f t="shared" si="3"/>
        <v>4.6936892933494798</v>
      </c>
    </row>
    <row r="47" spans="1:12" ht="15.75" x14ac:dyDescent="0.25">
      <c r="A47" s="14">
        <v>1958</v>
      </c>
      <c r="B47" s="1">
        <v>0.43719999999999998</v>
      </c>
      <c r="C47" s="1">
        <v>1.78E-2</v>
      </c>
      <c r="D47" s="1">
        <v>-2.1000000000000001E-2</v>
      </c>
      <c r="E47" s="15">
        <v>2.8</v>
      </c>
      <c r="G47">
        <f t="shared" si="0"/>
        <v>11.483891082889002</v>
      </c>
      <c r="H47">
        <f t="shared" si="1"/>
        <v>0.44066274807811551</v>
      </c>
      <c r="I47">
        <f t="shared" si="2"/>
        <v>11.924553830967117</v>
      </c>
      <c r="J47">
        <f>J46*(1+B47)*(1-($E47*0.01))</f>
        <v>6.3317666387068439</v>
      </c>
      <c r="K47">
        <f>K46*(1+C47)*(1-($E47*0.01))</f>
        <v>0.15942751117294132</v>
      </c>
      <c r="L47">
        <f t="shared" si="3"/>
        <v>6.4911941498797852</v>
      </c>
    </row>
    <row r="48" spans="1:12" ht="15.75" x14ac:dyDescent="0.25">
      <c r="A48" s="12">
        <v>1959</v>
      </c>
      <c r="B48" s="2">
        <v>0.1206</v>
      </c>
      <c r="C48" s="2">
        <v>3.2599999999999997E-2</v>
      </c>
      <c r="D48" s="2">
        <v>-2.6499999999999999E-2</v>
      </c>
      <c r="E48" s="13">
        <v>0.7</v>
      </c>
      <c r="G48">
        <f t="shared" si="0"/>
        <v>12.868848347485416</v>
      </c>
      <c r="H48">
        <f t="shared" si="1"/>
        <v>0.42898518525404544</v>
      </c>
      <c r="I48">
        <f t="shared" si="2"/>
        <v>13.297833532739462</v>
      </c>
      <c r="J48">
        <f>J47*(1+B48)*(1-($E48*0.01))</f>
        <v>7.0457100514675446</v>
      </c>
      <c r="K48">
        <f>K47*(1+C48)*(1-($E48*0.01))</f>
        <v>0.16347247410091895</v>
      </c>
      <c r="L48">
        <f t="shared" si="3"/>
        <v>7.2091825255684636</v>
      </c>
    </row>
    <row r="49" spans="1:12" ht="15.75" x14ac:dyDescent="0.25">
      <c r="A49" s="14">
        <v>1960</v>
      </c>
      <c r="B49" s="1">
        <v>3.3999999999999998E-3</v>
      </c>
      <c r="C49" s="1">
        <v>3.0499999999999999E-2</v>
      </c>
      <c r="D49" s="1">
        <v>0.1164</v>
      </c>
      <c r="E49" s="15">
        <v>1.7</v>
      </c>
      <c r="G49">
        <f t="shared" si="0"/>
        <v>12.912602431866867</v>
      </c>
      <c r="H49">
        <f t="shared" si="1"/>
        <v>0.47891906081761637</v>
      </c>
      <c r="I49">
        <f t="shared" si="2"/>
        <v>13.391521492684484</v>
      </c>
      <c r="J49">
        <f>J48*(1+B49)*(1-($E49*0.01))</f>
        <v>6.9494811527266114</v>
      </c>
      <c r="K49">
        <f>K48*(1+C49)*(1-($E49*0.01))</f>
        <v>0.16559459202346</v>
      </c>
      <c r="L49">
        <f t="shared" si="3"/>
        <v>7.1150757447500714</v>
      </c>
    </row>
    <row r="50" spans="1:12" ht="15.75" x14ac:dyDescent="0.25">
      <c r="A50" s="12">
        <v>1961</v>
      </c>
      <c r="B50" s="2">
        <v>0.26640000000000003</v>
      </c>
      <c r="C50" s="2">
        <v>2.2700000000000001E-2</v>
      </c>
      <c r="D50" s="2">
        <v>2.06E-2</v>
      </c>
      <c r="E50" s="13">
        <v>1</v>
      </c>
      <c r="G50">
        <f t="shared" si="0"/>
        <v>16.352519719716199</v>
      </c>
      <c r="H50">
        <f t="shared" si="1"/>
        <v>0.48878479347045922</v>
      </c>
      <c r="I50">
        <f t="shared" si="2"/>
        <v>16.841304513186657</v>
      </c>
      <c r="J50">
        <f>J49*(1+B50)*(1-($E50*0.01))</f>
        <v>8.7128147024948515</v>
      </c>
      <c r="K50">
        <f>K49*(1+C50)*(1-($E50*0.01))</f>
        <v>0.16766005336976861</v>
      </c>
      <c r="L50">
        <f t="shared" si="3"/>
        <v>8.8804747558646202</v>
      </c>
    </row>
    <row r="51" spans="1:12" ht="15.75" x14ac:dyDescent="0.25">
      <c r="A51" s="14">
        <v>1962</v>
      </c>
      <c r="B51" s="1">
        <v>-8.8099999999999998E-2</v>
      </c>
      <c r="C51" s="1">
        <v>2.7799999999999998E-2</v>
      </c>
      <c r="D51" s="1">
        <v>5.6899999999999999E-2</v>
      </c>
      <c r="E51" s="15">
        <v>1</v>
      </c>
      <c r="G51">
        <f t="shared" si="0"/>
        <v>14.911862732409203</v>
      </c>
      <c r="H51">
        <f t="shared" si="1"/>
        <v>0.51659664821892837</v>
      </c>
      <c r="I51">
        <f t="shared" si="2"/>
        <v>15.428459380628132</v>
      </c>
      <c r="J51">
        <f>J50*(1+B51)*(1-($E51*0.01))</f>
        <v>7.8657635699330051</v>
      </c>
      <c r="K51">
        <f>K50*(1+C51)*(1-($E51*0.01))</f>
        <v>0.17059779282491369</v>
      </c>
      <c r="L51">
        <f t="shared" si="3"/>
        <v>8.0363613627579191</v>
      </c>
    </row>
    <row r="52" spans="1:12" ht="15.75" x14ac:dyDescent="0.25">
      <c r="A52" s="12">
        <v>1963</v>
      </c>
      <c r="B52" s="2">
        <v>0.2261</v>
      </c>
      <c r="C52" s="2">
        <v>3.1099999999999999E-2</v>
      </c>
      <c r="D52" s="2">
        <v>1.6799999999999999E-2</v>
      </c>
      <c r="E52" s="13">
        <v>1.3</v>
      </c>
      <c r="G52">
        <f t="shared" si="0"/>
        <v>18.283434896206924</v>
      </c>
      <c r="H52">
        <f t="shared" si="1"/>
        <v>0.52527547190900636</v>
      </c>
      <c r="I52">
        <f t="shared" si="2"/>
        <v>18.808710368115928</v>
      </c>
      <c r="J52">
        <f>J51*(1+B52)*(1-($E52*0.01))</f>
        <v>9.5188379478246237</v>
      </c>
      <c r="K52">
        <f>K51*(1+C52)*(1-($E52*0.01))</f>
        <v>0.1736166401874055</v>
      </c>
      <c r="L52">
        <f t="shared" si="3"/>
        <v>9.6924545880120299</v>
      </c>
    </row>
    <row r="53" spans="1:12" ht="15.75" x14ac:dyDescent="0.25">
      <c r="A53" s="14">
        <v>1964</v>
      </c>
      <c r="B53" s="1">
        <v>0.16420000000000001</v>
      </c>
      <c r="C53" s="1">
        <v>3.5099999999999999E-2</v>
      </c>
      <c r="D53" s="1">
        <v>3.73E-2</v>
      </c>
      <c r="E53" s="15">
        <v>1.3</v>
      </c>
      <c r="G53">
        <f t="shared" si="0"/>
        <v>21.285574906164104</v>
      </c>
      <c r="H53">
        <f t="shared" si="1"/>
        <v>0.54486824701121239</v>
      </c>
      <c r="I53">
        <f t="shared" si="2"/>
        <v>21.830443153175317</v>
      </c>
      <c r="J53">
        <f>J52*(1+B53)*(1-($E53*0.01))</f>
        <v>10.937767334052282</v>
      </c>
      <c r="K53">
        <f>K52*(1+C53)*(1-($E53*0.01))</f>
        <v>0.17737434666262963</v>
      </c>
      <c r="L53">
        <f t="shared" si="3"/>
        <v>11.115141680714911</v>
      </c>
    </row>
    <row r="54" spans="1:12" ht="15.75" x14ac:dyDescent="0.25">
      <c r="A54" s="12">
        <v>1965</v>
      </c>
      <c r="B54" s="2">
        <v>0.124</v>
      </c>
      <c r="C54" s="2">
        <v>3.9E-2</v>
      </c>
      <c r="D54" s="2">
        <v>7.1999999999999998E-3</v>
      </c>
      <c r="E54" s="13">
        <v>1.6</v>
      </c>
      <c r="G54">
        <f t="shared" si="0"/>
        <v>23.924986194528454</v>
      </c>
      <c r="H54">
        <f t="shared" si="1"/>
        <v>0.54879129838969321</v>
      </c>
      <c r="I54">
        <f t="shared" si="2"/>
        <v>24.473777492918149</v>
      </c>
      <c r="J54">
        <f>J53*(1+B54)*(1-($E54*0.01))</f>
        <v>12.09734567573917</v>
      </c>
      <c r="K54">
        <f>K53*(1+C54)*(1-($E54*0.01))</f>
        <v>0.18134327504355263</v>
      </c>
      <c r="L54">
        <f t="shared" si="3"/>
        <v>12.278688950782723</v>
      </c>
    </row>
    <row r="55" spans="1:12" ht="15.75" x14ac:dyDescent="0.25">
      <c r="A55" s="14">
        <v>1966</v>
      </c>
      <c r="B55" s="1">
        <v>-9.9699999999999997E-2</v>
      </c>
      <c r="C55" s="1">
        <v>4.8399999999999999E-2</v>
      </c>
      <c r="D55" s="1">
        <v>2.9100000000000001E-2</v>
      </c>
      <c r="E55" s="15">
        <v>2.9</v>
      </c>
      <c r="G55">
        <f t="shared" si="0"/>
        <v>21.539665070933967</v>
      </c>
      <c r="H55">
        <f t="shared" si="1"/>
        <v>0.56476112517283328</v>
      </c>
      <c r="I55">
        <f t="shared" si="2"/>
        <v>22.1044261961068</v>
      </c>
      <c r="J55">
        <f>J54*(1+B55)*(1-($E55*0.01))</f>
        <v>10.575394342823802</v>
      </c>
      <c r="K55">
        <f>K54*(1+C55)*(1-($E55*0.01))</f>
        <v>0.18460680115854641</v>
      </c>
      <c r="L55">
        <f t="shared" si="3"/>
        <v>10.760001143982349</v>
      </c>
    </row>
    <row r="56" spans="1:12" ht="15.75" x14ac:dyDescent="0.25">
      <c r="A56" s="12">
        <v>1967</v>
      </c>
      <c r="B56" s="2">
        <v>0.23799999999999999</v>
      </c>
      <c r="C56" s="2">
        <v>4.3299999999999998E-2</v>
      </c>
      <c r="D56" s="2">
        <v>-1.5800000000000002E-2</v>
      </c>
      <c r="E56" s="13">
        <v>3.1</v>
      </c>
      <c r="G56">
        <f t="shared" si="0"/>
        <v>26.666105357816253</v>
      </c>
      <c r="H56">
        <f t="shared" si="1"/>
        <v>0.55583789939510253</v>
      </c>
      <c r="I56">
        <f t="shared" si="2"/>
        <v>27.221943257211354</v>
      </c>
      <c r="J56">
        <f>J55*(1+B56)*(1-($E56*0.01))</f>
        <v>12.686475712326974</v>
      </c>
      <c r="K56">
        <f>K55*(1+C56)*(1-($E56*0.01))</f>
        <v>0.1866296671036014</v>
      </c>
      <c r="L56">
        <f t="shared" si="3"/>
        <v>12.873105379430575</v>
      </c>
    </row>
    <row r="57" spans="1:12" ht="15.75" x14ac:dyDescent="0.25">
      <c r="A57" s="14">
        <v>1968</v>
      </c>
      <c r="B57" s="1">
        <v>0.1081</v>
      </c>
      <c r="C57" s="1">
        <v>5.2600000000000001E-2</v>
      </c>
      <c r="D57" s="1">
        <v>3.27E-2</v>
      </c>
      <c r="E57" s="15">
        <v>4.2</v>
      </c>
      <c r="G57">
        <f t="shared" si="0"/>
        <v>29.548711346996193</v>
      </c>
      <c r="H57">
        <f t="shared" si="1"/>
        <v>0.57401379870532232</v>
      </c>
      <c r="I57">
        <f t="shared" si="2"/>
        <v>30.122725145701516</v>
      </c>
      <c r="J57">
        <f>J56*(1+B57)*(1-($E57*0.01))</f>
        <v>13.46745261988268</v>
      </c>
      <c r="K57">
        <f>K56*(1+C57)*(1-($E57*0.01))</f>
        <v>0.18819563931433431</v>
      </c>
      <c r="L57">
        <f t="shared" si="3"/>
        <v>13.655648259197015</v>
      </c>
    </row>
    <row r="58" spans="1:12" ht="15.75" x14ac:dyDescent="0.25">
      <c r="A58" s="12">
        <v>1969</v>
      </c>
      <c r="B58" s="2">
        <v>-8.2400000000000001E-2</v>
      </c>
      <c r="C58" s="2">
        <v>6.5600000000000006E-2</v>
      </c>
      <c r="D58" s="2">
        <v>-5.0099999999999999E-2</v>
      </c>
      <c r="E58" s="13">
        <v>5.5</v>
      </c>
      <c r="G58">
        <f t="shared" si="0"/>
        <v>27.113897532003705</v>
      </c>
      <c r="H58">
        <f t="shared" si="1"/>
        <v>0.5452557073901857</v>
      </c>
      <c r="I58">
        <f t="shared" si="2"/>
        <v>27.659153239393891</v>
      </c>
      <c r="J58">
        <f>J57*(1+B58)*(1-($E58*0.01))</f>
        <v>11.678059125184106</v>
      </c>
      <c r="K58">
        <f>K57*(1+C58)*(1-($E58*0.01))</f>
        <v>0.18951150322442015</v>
      </c>
      <c r="L58">
        <f t="shared" si="3"/>
        <v>11.867570628408526</v>
      </c>
    </row>
    <row r="59" spans="1:12" ht="15.75" x14ac:dyDescent="0.25">
      <c r="A59" s="14">
        <v>1970</v>
      </c>
      <c r="B59" s="1">
        <v>3.56E-2</v>
      </c>
      <c r="C59" s="1">
        <v>6.6900000000000001E-2</v>
      </c>
      <c r="D59" s="1">
        <v>0.16750000000000001</v>
      </c>
      <c r="E59" s="15">
        <v>5.7</v>
      </c>
      <c r="G59">
        <f t="shared" si="0"/>
        <v>28.079152284143039</v>
      </c>
      <c r="H59">
        <f t="shared" si="1"/>
        <v>0.63658603837804184</v>
      </c>
      <c r="I59">
        <f t="shared" si="2"/>
        <v>28.71573832252108</v>
      </c>
      <c r="J59">
        <f>J58*(1+B59)*(1-($E59*0.01))</f>
        <v>11.404451542328342</v>
      </c>
      <c r="K59">
        <f>K58*(1+C59)*(1-($E59*0.01))</f>
        <v>0.1906650028910962</v>
      </c>
      <c r="L59">
        <f t="shared" si="3"/>
        <v>11.595116545219438</v>
      </c>
    </row>
    <row r="60" spans="1:12" ht="15.75" x14ac:dyDescent="0.25">
      <c r="A60" s="12">
        <v>1971</v>
      </c>
      <c r="B60" s="2">
        <v>0.14219999999999999</v>
      </c>
      <c r="C60" s="2">
        <v>4.5400000000000003E-2</v>
      </c>
      <c r="D60" s="2">
        <v>9.7900000000000001E-2</v>
      </c>
      <c r="E60" s="13">
        <v>4.4000000000000004</v>
      </c>
      <c r="G60">
        <f t="shared" si="0"/>
        <v>32.072007738948173</v>
      </c>
      <c r="H60">
        <f t="shared" si="1"/>
        <v>0.69890781153525217</v>
      </c>
      <c r="I60">
        <f t="shared" si="2"/>
        <v>32.770915550483423</v>
      </c>
      <c r="J60">
        <f>J59*(1+B60)*(1-($E60*0.01))</f>
        <v>12.453013311374944</v>
      </c>
      <c r="K60">
        <f>K59*(1+C60)*(1-($E60*0.01))</f>
        <v>0.19055106148536849</v>
      </c>
      <c r="L60">
        <f t="shared" si="3"/>
        <v>12.643564372860313</v>
      </c>
    </row>
    <row r="61" spans="1:12" ht="15.75" x14ac:dyDescent="0.25">
      <c r="A61" s="14">
        <v>1972</v>
      </c>
      <c r="B61" s="1">
        <v>0.18759999999999999</v>
      </c>
      <c r="C61" s="1">
        <v>3.95E-2</v>
      </c>
      <c r="D61" s="1">
        <v>2.8199999999999999E-2</v>
      </c>
      <c r="E61" s="15">
        <v>3.2</v>
      </c>
      <c r="G61">
        <f t="shared" si="0"/>
        <v>38.088716390774849</v>
      </c>
      <c r="H61">
        <f t="shared" si="1"/>
        <v>0.71861701182054627</v>
      </c>
      <c r="I61">
        <f t="shared" si="2"/>
        <v>38.807333402595397</v>
      </c>
      <c r="J61">
        <f>J60*(1+B61)*(1-($E61*0.01))</f>
        <v>14.315944253114038</v>
      </c>
      <c r="K61">
        <f>K60*(1+C61)*(1-($E61*0.01))</f>
        <v>0.19173933790479125</v>
      </c>
      <c r="L61">
        <f t="shared" si="3"/>
        <v>14.507683591018829</v>
      </c>
    </row>
    <row r="62" spans="1:12" ht="15.75" x14ac:dyDescent="0.25">
      <c r="A62" s="12">
        <v>1973</v>
      </c>
      <c r="B62" s="2">
        <v>-0.1431</v>
      </c>
      <c r="C62" s="2">
        <v>6.7299999999999999E-2</v>
      </c>
      <c r="D62" s="2">
        <v>3.6600000000000001E-2</v>
      </c>
      <c r="E62" s="13">
        <v>6.2</v>
      </c>
      <c r="G62">
        <f t="shared" si="0"/>
        <v>32.638221075254968</v>
      </c>
      <c r="H62">
        <f t="shared" si="1"/>
        <v>0.7449183944531782</v>
      </c>
      <c r="I62">
        <f t="shared" si="2"/>
        <v>33.383139469708148</v>
      </c>
      <c r="J62">
        <f>J61*(1+B62)*(1-($E62*0.01))</f>
        <v>11.506758007402826</v>
      </c>
      <c r="K62">
        <f>K61*(1+C62)*(1-($E62*0.01))</f>
        <v>0.19195550483434509</v>
      </c>
      <c r="L62">
        <f t="shared" si="3"/>
        <v>11.698713512237171</v>
      </c>
    </row>
    <row r="63" spans="1:12" ht="15.75" x14ac:dyDescent="0.25">
      <c r="A63" s="14">
        <v>1974</v>
      </c>
      <c r="B63" s="1">
        <v>-0.25900000000000001</v>
      </c>
      <c r="C63" s="1">
        <v>7.7799999999999994E-2</v>
      </c>
      <c r="D63" s="1">
        <v>1.9900000000000001E-2</v>
      </c>
      <c r="E63" s="15">
        <v>11</v>
      </c>
      <c r="G63">
        <f t="shared" si="0"/>
        <v>24.184921816763932</v>
      </c>
      <c r="H63">
        <f t="shared" si="1"/>
        <v>0.75974227050279652</v>
      </c>
      <c r="I63">
        <f t="shared" si="2"/>
        <v>24.94466408726673</v>
      </c>
      <c r="J63">
        <f>J62*(1+B63)*(1-($E63*0.01))</f>
        <v>7.5885918383020901</v>
      </c>
      <c r="K63">
        <f>K62*(1+C63)*(1-($E63*0.01))</f>
        <v>0.18413178236830688</v>
      </c>
      <c r="L63">
        <f t="shared" si="3"/>
        <v>7.7727236206703969</v>
      </c>
    </row>
    <row r="64" spans="1:12" ht="15.75" x14ac:dyDescent="0.25">
      <c r="A64" s="12">
        <v>1975</v>
      </c>
      <c r="B64" s="2">
        <v>0.37</v>
      </c>
      <c r="C64" s="2">
        <v>5.9900000000000002E-2</v>
      </c>
      <c r="D64" s="2">
        <v>3.61E-2</v>
      </c>
      <c r="E64" s="13">
        <v>9.1</v>
      </c>
      <c r="G64">
        <f t="shared" si="0"/>
        <v>33.133342888966588</v>
      </c>
      <c r="H64">
        <f t="shared" si="1"/>
        <v>0.78716896646794754</v>
      </c>
      <c r="I64">
        <f t="shared" si="2"/>
        <v>33.920511855434533</v>
      </c>
      <c r="J64">
        <f>J63*(1+B64)*(1-($E64*0.01))</f>
        <v>9.4503010739927422</v>
      </c>
      <c r="K64">
        <f>K63*(1+C64)*(1-($E64*0.01))</f>
        <v>0.17740160000414115</v>
      </c>
      <c r="L64">
        <f t="shared" si="3"/>
        <v>9.6277026739968825</v>
      </c>
    </row>
    <row r="65" spans="1:12" ht="15.75" x14ac:dyDescent="0.25">
      <c r="A65" s="14">
        <v>1976</v>
      </c>
      <c r="B65" s="1">
        <v>0.23830000000000001</v>
      </c>
      <c r="C65" s="1">
        <v>4.9700000000000001E-2</v>
      </c>
      <c r="D65" s="1">
        <v>0.1598</v>
      </c>
      <c r="E65" s="15">
        <v>5.8</v>
      </c>
      <c r="G65">
        <f t="shared" si="0"/>
        <v>41.029018499407321</v>
      </c>
      <c r="H65">
        <f t="shared" si="1"/>
        <v>0.91295856730952551</v>
      </c>
      <c r="I65">
        <f t="shared" si="2"/>
        <v>41.941977066716845</v>
      </c>
      <c r="J65">
        <f>J64*(1+B65)*(1-($E65*0.01))</f>
        <v>11.023573966369549</v>
      </c>
      <c r="K65">
        <f>K64*(1+C65)*(1-($E65*0.01))</f>
        <v>0.17541778887193485</v>
      </c>
      <c r="L65">
        <f t="shared" si="3"/>
        <v>11.198991755241483</v>
      </c>
    </row>
    <row r="66" spans="1:12" ht="15.75" x14ac:dyDescent="0.25">
      <c r="A66" s="12">
        <v>1977</v>
      </c>
      <c r="B66" s="2">
        <v>-6.9800000000000001E-2</v>
      </c>
      <c r="C66" s="2">
        <v>5.1299999999999998E-2</v>
      </c>
      <c r="D66" s="2">
        <v>1.29E-2</v>
      </c>
      <c r="E66" s="13">
        <v>6.5</v>
      </c>
      <c r="G66">
        <f t="shared" si="0"/>
        <v>38.165193008148691</v>
      </c>
      <c r="H66">
        <f t="shared" si="1"/>
        <v>0.92473573282781829</v>
      </c>
      <c r="I66">
        <f t="shared" si="2"/>
        <v>39.089928740976511</v>
      </c>
      <c r="J66">
        <f>J65*(1+B66)*(1-($E66*0.01))</f>
        <v>9.5876101507883522</v>
      </c>
      <c r="K66">
        <f>K65*(1+C66)*(1-($E66*0.01))</f>
        <v>0.17242963454739585</v>
      </c>
      <c r="L66">
        <f t="shared" si="3"/>
        <v>9.7600397853357475</v>
      </c>
    </row>
    <row r="67" spans="1:12" ht="15.75" x14ac:dyDescent="0.25">
      <c r="A67" s="14">
        <v>1978</v>
      </c>
      <c r="B67" s="1">
        <v>6.5100000000000005E-2</v>
      </c>
      <c r="C67" s="1">
        <v>6.93E-2</v>
      </c>
      <c r="D67" s="1">
        <v>-7.7999999999999996E-3</v>
      </c>
      <c r="E67" s="15">
        <v>7.6</v>
      </c>
      <c r="G67">
        <f t="shared" si="0"/>
        <v>40.649747072979167</v>
      </c>
      <c r="H67">
        <f t="shared" si="1"/>
        <v>0.9175227941117613</v>
      </c>
      <c r="I67">
        <f t="shared" si="2"/>
        <v>41.567269867090928</v>
      </c>
      <c r="J67">
        <f>J66*(1+B67)*(1-($E67*0.01))</f>
        <v>9.4356695401627189</v>
      </c>
      <c r="K67">
        <f>K66*(1+C67)*(1-($E67*0.01))</f>
        <v>0.17036620359669405</v>
      </c>
      <c r="L67">
        <f t="shared" si="3"/>
        <v>9.6060357437594135</v>
      </c>
    </row>
    <row r="68" spans="1:12" ht="15.75" x14ac:dyDescent="0.25">
      <c r="A68" s="12">
        <v>1979</v>
      </c>
      <c r="B68" s="2">
        <v>0.1852</v>
      </c>
      <c r="C68" s="2">
        <v>9.9400000000000002E-2</v>
      </c>
      <c r="D68" s="2">
        <v>6.7000000000000002E-3</v>
      </c>
      <c r="E68" s="13">
        <v>11.3</v>
      </c>
      <c r="G68">
        <f t="shared" si="0"/>
        <v>48.178080230894913</v>
      </c>
      <c r="H68">
        <f t="shared" si="1"/>
        <v>0.92367019683231</v>
      </c>
      <c r="I68">
        <f t="shared" si="2"/>
        <v>49.101750427727225</v>
      </c>
      <c r="J68">
        <f>J67*(1+B68)*(1-($E68*0.01))</f>
        <v>9.9194589630937582</v>
      </c>
      <c r="K68">
        <f>K67*(1+C68)*(1-($E68*0.01))</f>
        <v>0.16613563595574021</v>
      </c>
      <c r="L68">
        <f t="shared" si="3"/>
        <v>10.085594599049498</v>
      </c>
    </row>
    <row r="69" spans="1:12" ht="15.75" x14ac:dyDescent="0.25">
      <c r="A69" s="14">
        <v>1980</v>
      </c>
      <c r="B69" s="1">
        <v>0.31740000000000002</v>
      </c>
      <c r="C69" s="1">
        <v>0.11219999999999999</v>
      </c>
      <c r="D69" s="1">
        <v>-2.9899999999999999E-2</v>
      </c>
      <c r="E69" s="15">
        <v>13.5</v>
      </c>
      <c r="G69">
        <f t="shared" si="0"/>
        <v>63.469802896180965</v>
      </c>
      <c r="H69">
        <f t="shared" si="1"/>
        <v>0.89605245794702393</v>
      </c>
      <c r="I69">
        <f t="shared" si="2"/>
        <v>64.365855354127987</v>
      </c>
      <c r="J69">
        <f>J68*(1+B69)*(1-($E69*0.01))</f>
        <v>11.303729380852456</v>
      </c>
      <c r="K69">
        <f>K68*(1+C69)*(1-($E69*0.01))</f>
        <v>0.15983128697812776</v>
      </c>
      <c r="L69">
        <f t="shared" si="3"/>
        <v>11.463560667830583</v>
      </c>
    </row>
    <row r="70" spans="1:12" ht="15.75" x14ac:dyDescent="0.25">
      <c r="A70" s="12">
        <v>1981</v>
      </c>
      <c r="B70" s="2">
        <v>-4.7E-2</v>
      </c>
      <c r="C70" s="2">
        <v>0.14299999999999999</v>
      </c>
      <c r="D70" s="2">
        <v>8.2000000000000003E-2</v>
      </c>
      <c r="E70" s="13">
        <v>10.3</v>
      </c>
      <c r="G70">
        <f t="shared" si="0"/>
        <v>60.486722160060459</v>
      </c>
      <c r="H70">
        <f t="shared" si="1"/>
        <v>0.96952875949868</v>
      </c>
      <c r="I70">
        <f t="shared" si="2"/>
        <v>61.456250919559139</v>
      </c>
      <c r="J70">
        <f>J69*(1+B70)*(1-($E70*0.01))</f>
        <v>9.6628913276572934</v>
      </c>
      <c r="K70">
        <f>K69*(1+C70)*(1-($E70*0.01))</f>
        <v>0.16387038343135202</v>
      </c>
      <c r="L70">
        <f t="shared" si="3"/>
        <v>9.8267617110886452</v>
      </c>
    </row>
    <row r="71" spans="1:12" ht="15.75" x14ac:dyDescent="0.25">
      <c r="A71" s="14">
        <v>1982</v>
      </c>
      <c r="B71" s="1">
        <v>0.20419999999999999</v>
      </c>
      <c r="C71" s="1">
        <v>0.1101</v>
      </c>
      <c r="D71" s="1">
        <v>0.3281</v>
      </c>
      <c r="E71" s="15">
        <v>6.2</v>
      </c>
      <c r="G71">
        <f t="shared" si="0"/>
        <v>72.838110825144796</v>
      </c>
      <c r="H71">
        <f t="shared" si="1"/>
        <v>1.287631145490197</v>
      </c>
      <c r="I71">
        <f t="shared" si="2"/>
        <v>74.125741970634991</v>
      </c>
      <c r="J71">
        <f>J70*(1+B71)*(1-($E71*0.01))</f>
        <v>10.914618405085488</v>
      </c>
      <c r="K71">
        <f>K70*(1+C71)*(1-($E71*0.01))</f>
        <v>0.17063393686302097</v>
      </c>
      <c r="L71">
        <f t="shared" si="3"/>
        <v>11.085252341948509</v>
      </c>
    </row>
    <row r="72" spans="1:12" ht="15.75" x14ac:dyDescent="0.25">
      <c r="A72" s="12">
        <v>1983</v>
      </c>
      <c r="B72" s="2">
        <v>0.22339999999999999</v>
      </c>
      <c r="C72" s="2">
        <v>8.4500000000000006E-2</v>
      </c>
      <c r="D72" s="2">
        <v>3.2000000000000001E-2</v>
      </c>
      <c r="E72" s="13">
        <v>3.2</v>
      </c>
      <c r="G72">
        <f t="shared" si="0"/>
        <v>89.110144783482141</v>
      </c>
      <c r="H72">
        <f t="shared" si="1"/>
        <v>1.3288353421458834</v>
      </c>
      <c r="I72">
        <f t="shared" si="2"/>
        <v>90.438980125628021</v>
      </c>
      <c r="J72">
        <f>J71*(1+B72)*(1-($E72*0.01))</f>
        <v>12.925649943764574</v>
      </c>
      <c r="K72">
        <f>K71*(1+C72)*(1-($E72*0.01))</f>
        <v>0.17913082438305197</v>
      </c>
      <c r="L72">
        <f t="shared" si="3"/>
        <v>13.104780768147625</v>
      </c>
    </row>
    <row r="73" spans="1:12" ht="15.75" x14ac:dyDescent="0.25">
      <c r="A73" s="14">
        <v>1984</v>
      </c>
      <c r="B73" s="1">
        <v>6.1499999999999999E-2</v>
      </c>
      <c r="C73" s="1">
        <v>9.6100000000000005E-2</v>
      </c>
      <c r="D73" s="1">
        <v>0.13730000000000001</v>
      </c>
      <c r="E73" s="15">
        <v>4.3</v>
      </c>
      <c r="G73">
        <f t="shared" si="0"/>
        <v>94.5904186876663</v>
      </c>
      <c r="H73">
        <f t="shared" si="1"/>
        <v>1.5112844346225132</v>
      </c>
      <c r="I73">
        <f t="shared" si="2"/>
        <v>96.101703122288811</v>
      </c>
      <c r="J73">
        <f>J72*(1+B73)*(1-($E73*0.01))</f>
        <v>13.130592586447936</v>
      </c>
      <c r="K73">
        <f>K72*(1+C73)*(1-($E73*0.01))</f>
        <v>0.18790244885219395</v>
      </c>
      <c r="L73">
        <f t="shared" si="3"/>
        <v>13.318495035300129</v>
      </c>
    </row>
    <row r="74" spans="1:12" ht="15.75" x14ac:dyDescent="0.25">
      <c r="A74" s="12">
        <v>1985</v>
      </c>
      <c r="B74" s="2">
        <v>0.31240000000000001</v>
      </c>
      <c r="C74" s="2">
        <v>7.4899999999999994E-2</v>
      </c>
      <c r="D74" s="2">
        <v>0.2571</v>
      </c>
      <c r="E74" s="13">
        <v>3.6</v>
      </c>
      <c r="G74">
        <f t="shared" si="0"/>
        <v>124.14046548569326</v>
      </c>
      <c r="H74">
        <f t="shared" si="1"/>
        <v>1.8998356627639612</v>
      </c>
      <c r="I74">
        <f t="shared" si="2"/>
        <v>126.04030114845722</v>
      </c>
      <c r="J74">
        <f>J73*(1+B74)*(1-($E74*0.01))</f>
        <v>16.612216480877915</v>
      </c>
      <c r="K74">
        <f>K73*(1+C74)*(1-($E74*0.01))</f>
        <v>0.19470519394945923</v>
      </c>
      <c r="L74">
        <f t="shared" si="3"/>
        <v>16.806921674827375</v>
      </c>
    </row>
    <row r="75" spans="1:12" ht="15.75" x14ac:dyDescent="0.25">
      <c r="A75" s="14">
        <v>1986</v>
      </c>
      <c r="B75" s="1">
        <v>0.18490000000000001</v>
      </c>
      <c r="C75" s="1">
        <v>6.0400000000000002E-2</v>
      </c>
      <c r="D75" s="1">
        <v>0.24279999999999999</v>
      </c>
      <c r="E75" s="15">
        <v>1.9</v>
      </c>
      <c r="G75">
        <f t="shared" si="0"/>
        <v>147.09403755399794</v>
      </c>
      <c r="H75">
        <f t="shared" si="1"/>
        <v>2.3611157616830507</v>
      </c>
      <c r="I75">
        <f t="shared" si="2"/>
        <v>149.45515331568097</v>
      </c>
      <c r="J75">
        <f>J74*(1+B75)*(1-($E75*0.01))</f>
        <v>19.309822817336592</v>
      </c>
      <c r="K75">
        <f>K74*(1+C75)*(1-($E75*0.01))</f>
        <v>0.20254254529839044</v>
      </c>
      <c r="L75">
        <f t="shared" si="3"/>
        <v>19.512365362634981</v>
      </c>
    </row>
    <row r="76" spans="1:12" ht="15.75" x14ac:dyDescent="0.25">
      <c r="A76" s="12">
        <v>1987</v>
      </c>
      <c r="B76" s="2">
        <v>5.8099999999999999E-2</v>
      </c>
      <c r="C76" s="2">
        <v>5.7200000000000001E-2</v>
      </c>
      <c r="D76" s="2">
        <v>-4.9599999999999998E-2</v>
      </c>
      <c r="E76" s="13">
        <v>3.6</v>
      </c>
      <c r="G76">
        <f t="shared" si="0"/>
        <v>155.64020113588523</v>
      </c>
      <c r="H76">
        <f t="shared" si="1"/>
        <v>2.2440044199035714</v>
      </c>
      <c r="I76">
        <f t="shared" si="2"/>
        <v>157.88420555578881</v>
      </c>
      <c r="J76">
        <f>J75*(1+B76)*(1-($E76*0.01))</f>
        <v>19.69618147619499</v>
      </c>
      <c r="K76">
        <f>K75*(1+C76)*(1-($E76*0.01))</f>
        <v>0.20641937164943785</v>
      </c>
      <c r="L76">
        <f t="shared" si="3"/>
        <v>19.902600847844429</v>
      </c>
    </row>
    <row r="77" spans="1:12" ht="15.75" x14ac:dyDescent="0.25">
      <c r="A77" s="14">
        <v>1988</v>
      </c>
      <c r="B77" s="1">
        <v>0.16539999999999999</v>
      </c>
      <c r="C77" s="1">
        <v>6.4500000000000002E-2</v>
      </c>
      <c r="D77" s="1">
        <v>8.2199999999999995E-2</v>
      </c>
      <c r="E77" s="15">
        <v>4.0999999999999996</v>
      </c>
      <c r="G77">
        <f t="shared" si="0"/>
        <v>181.38309040376066</v>
      </c>
      <c r="H77">
        <f t="shared" si="1"/>
        <v>2.428461583219645</v>
      </c>
      <c r="I77">
        <f t="shared" si="2"/>
        <v>183.81155198698031</v>
      </c>
      <c r="J77">
        <f>J76*(1+B77)*(1-($E77*0.01))</f>
        <v>22.012818766770977</v>
      </c>
      <c r="K77">
        <f>K76*(1+C77)*(1-($E77*0.01))</f>
        <v>0.21072435085487271</v>
      </c>
      <c r="L77">
        <f t="shared" si="3"/>
        <v>22.223543117625848</v>
      </c>
    </row>
    <row r="78" spans="1:12" ht="15.75" x14ac:dyDescent="0.25">
      <c r="A78" s="12">
        <v>1989</v>
      </c>
      <c r="B78" s="2">
        <v>0.31480000000000002</v>
      </c>
      <c r="C78" s="2">
        <v>8.1100000000000005E-2</v>
      </c>
      <c r="D78" s="2">
        <v>0.1769</v>
      </c>
      <c r="E78" s="13">
        <v>4.8</v>
      </c>
      <c r="G78">
        <f t="shared" si="0"/>
        <v>238.48248726286451</v>
      </c>
      <c r="H78">
        <f t="shared" si="1"/>
        <v>2.8580564372912005</v>
      </c>
      <c r="I78">
        <f t="shared" si="2"/>
        <v>241.34054370015571</v>
      </c>
      <c r="J78">
        <f>J77*(1+B78)*(1-($E78*0.01))</f>
        <v>27.553216317052055</v>
      </c>
      <c r="K78">
        <f>K77*(1+C78)*(1-($E78*0.01))</f>
        <v>0.21687901911516111</v>
      </c>
      <c r="L78">
        <f t="shared" si="3"/>
        <v>27.770095336167216</v>
      </c>
    </row>
    <row r="79" spans="1:12" ht="15.75" x14ac:dyDescent="0.25">
      <c r="A79" s="14">
        <v>1990</v>
      </c>
      <c r="B79" s="1">
        <v>-3.0599999999999999E-2</v>
      </c>
      <c r="C79" s="1">
        <v>7.5499999999999998E-2</v>
      </c>
      <c r="D79" s="1">
        <v>6.2399999999999997E-2</v>
      </c>
      <c r="E79" s="15">
        <v>5.4</v>
      </c>
      <c r="G79">
        <f t="shared" si="0"/>
        <v>231.18492315262085</v>
      </c>
      <c r="H79">
        <f t="shared" si="1"/>
        <v>3.0363991589781714</v>
      </c>
      <c r="I79">
        <f t="shared" si="2"/>
        <v>234.22132231159904</v>
      </c>
      <c r="J79">
        <f>J78*(1+B79)*(1-($E79*0.01))</f>
        <v>25.267743151271748</v>
      </c>
      <c r="K79">
        <f>K78*(1+C79)*(1-($E79*0.01))</f>
        <v>0.22065770226520454</v>
      </c>
      <c r="L79">
        <f t="shared" si="3"/>
        <v>25.488400853536952</v>
      </c>
    </row>
    <row r="80" spans="1:12" ht="15.75" x14ac:dyDescent="0.25">
      <c r="A80" s="12">
        <v>1991</v>
      </c>
      <c r="B80" s="2">
        <v>0.30230000000000001</v>
      </c>
      <c r="C80" s="2">
        <v>5.6099999999999997E-2</v>
      </c>
      <c r="D80" s="2">
        <v>0.15</v>
      </c>
      <c r="E80" s="13">
        <v>4.2</v>
      </c>
      <c r="G80">
        <f t="shared" si="0"/>
        <v>301.07212542165814</v>
      </c>
      <c r="H80">
        <f t="shared" si="1"/>
        <v>3.4918590328248968</v>
      </c>
      <c r="I80">
        <f t="shared" si="2"/>
        <v>304.56398445448303</v>
      </c>
      <c r="J80">
        <f>J79*(1+B80)*(1-($E80*0.01))</f>
        <v>31.524122265853347</v>
      </c>
      <c r="K80">
        <f>K79*(1+C80)*(1-($E80*0.01))</f>
        <v>0.22324906218906665</v>
      </c>
      <c r="L80">
        <f t="shared" si="3"/>
        <v>31.747371328042412</v>
      </c>
    </row>
    <row r="81" spans="1:12" ht="15.75" x14ac:dyDescent="0.25">
      <c r="A81" s="14">
        <v>1992</v>
      </c>
      <c r="B81" s="1">
        <v>7.4899999999999994E-2</v>
      </c>
      <c r="C81" s="1">
        <v>3.4099999999999998E-2</v>
      </c>
      <c r="D81" s="1">
        <v>9.3600000000000003E-2</v>
      </c>
      <c r="E81" s="15">
        <v>3</v>
      </c>
      <c r="G81">
        <f t="shared" si="0"/>
        <v>323.62242761574032</v>
      </c>
      <c r="H81">
        <f t="shared" si="1"/>
        <v>3.8186970382973069</v>
      </c>
      <c r="I81">
        <f t="shared" si="2"/>
        <v>327.44112465403765</v>
      </c>
      <c r="J81">
        <f>J80*(1+B81)*(1-($E81*0.01))</f>
        <v>32.868720652858784</v>
      </c>
      <c r="K81">
        <f>K80*(1+C81)*(1-($E81*0.01))</f>
        <v>0.22393599955342242</v>
      </c>
      <c r="L81">
        <f t="shared" si="3"/>
        <v>33.092656652412209</v>
      </c>
    </row>
    <row r="82" spans="1:12" ht="15.75" x14ac:dyDescent="0.25">
      <c r="A82" s="12">
        <v>1993</v>
      </c>
      <c r="B82" s="2">
        <v>9.9699999999999997E-2</v>
      </c>
      <c r="C82" s="2">
        <v>2.98E-2</v>
      </c>
      <c r="D82" s="2">
        <v>0.1421</v>
      </c>
      <c r="E82" s="13">
        <v>3</v>
      </c>
      <c r="G82">
        <f t="shared" ref="G82:G106" si="4">G81*(1+B82)</f>
        <v>355.88758364902958</v>
      </c>
      <c r="H82">
        <f t="shared" ref="H82:H106" si="5">H81*(1+D82)</f>
        <v>4.361333887439355</v>
      </c>
      <c r="I82">
        <f t="shared" ref="I82:I106" si="6">SUM(G82:H82)</f>
        <v>360.24891753646892</v>
      </c>
      <c r="J82">
        <f>J81*(1+B82)*(1-($E82*0.01))</f>
        <v>35.061360138890336</v>
      </c>
      <c r="K82">
        <f>K81*(1+C82)*(1-($E82*0.01))</f>
        <v>0.22369101356991097</v>
      </c>
      <c r="L82">
        <f t="shared" si="3"/>
        <v>35.285051152460248</v>
      </c>
    </row>
    <row r="83" spans="1:12" ht="15.75" x14ac:dyDescent="0.25">
      <c r="A83" s="14">
        <v>1994</v>
      </c>
      <c r="B83" s="1">
        <v>1.3299999999999999E-2</v>
      </c>
      <c r="C83" s="1">
        <v>3.9899999999999998E-2</v>
      </c>
      <c r="D83" s="1">
        <v>-8.0399999999999999E-2</v>
      </c>
      <c r="E83" s="15">
        <v>2.6</v>
      </c>
      <c r="G83">
        <f t="shared" si="4"/>
        <v>360.6208885115617</v>
      </c>
      <c r="H83">
        <f t="shared" si="5"/>
        <v>4.0106826428892308</v>
      </c>
      <c r="I83">
        <f t="shared" si="6"/>
        <v>364.63157115445091</v>
      </c>
      <c r="J83">
        <f>J82*(1+B83)*(1-($E83*0.01))</f>
        <v>34.603956646790408</v>
      </c>
      <c r="K83">
        <f>K82*(1+C83)*(1-($E83*0.01))</f>
        <v>0.22656826160105531</v>
      </c>
      <c r="L83">
        <f t="shared" ref="L83:L106" si="7">SUM(J83:K83)</f>
        <v>34.83052490839146</v>
      </c>
    </row>
    <row r="84" spans="1:12" ht="15.75" x14ac:dyDescent="0.25">
      <c r="A84" s="12">
        <v>1995</v>
      </c>
      <c r="B84" s="2">
        <v>0.372</v>
      </c>
      <c r="C84" s="2">
        <v>5.5199999999999999E-2</v>
      </c>
      <c r="D84" s="2">
        <v>0.23480000000000001</v>
      </c>
      <c r="E84" s="13">
        <v>2.8</v>
      </c>
      <c r="G84">
        <f t="shared" si="4"/>
        <v>494.77185903786261</v>
      </c>
      <c r="H84">
        <f t="shared" si="5"/>
        <v>4.9523909274396214</v>
      </c>
      <c r="I84">
        <f t="shared" si="6"/>
        <v>499.72424996530225</v>
      </c>
      <c r="J84">
        <f>J83*(1+B84)*(1-($E84*0.01))</f>
        <v>46.147282920853335</v>
      </c>
      <c r="K84">
        <f>K83*(1+C84)*(1-($E84*0.01))</f>
        <v>0.23238073441147339</v>
      </c>
      <c r="L84">
        <f t="shared" si="7"/>
        <v>46.379663655264807</v>
      </c>
    </row>
    <row r="85" spans="1:12" ht="15.75" x14ac:dyDescent="0.25">
      <c r="A85" s="14">
        <v>1996</v>
      </c>
      <c r="B85" s="1">
        <v>0.2268</v>
      </c>
      <c r="C85" s="1">
        <v>5.0200000000000002E-2</v>
      </c>
      <c r="D85" s="1">
        <v>1.43E-2</v>
      </c>
      <c r="E85" s="15">
        <v>3</v>
      </c>
      <c r="G85">
        <f t="shared" si="4"/>
        <v>606.98611666764975</v>
      </c>
      <c r="H85">
        <f t="shared" si="5"/>
        <v>5.0232101177020079</v>
      </c>
      <c r="I85">
        <f t="shared" si="6"/>
        <v>612.00932678535173</v>
      </c>
      <c r="J85">
        <f>J84*(1+B85)*(1-($E85*0.01))</f>
        <v>54.915082086683782</v>
      </c>
      <c r="K85">
        <f>K84*(1+C85)*(1-($E85*0.01))</f>
        <v>0.23672485986056147</v>
      </c>
      <c r="L85">
        <f t="shared" si="7"/>
        <v>55.15180694654434</v>
      </c>
    </row>
    <row r="86" spans="1:12" ht="15.75" x14ac:dyDescent="0.25">
      <c r="A86" s="12">
        <v>1997</v>
      </c>
      <c r="B86" s="2">
        <v>0.33100000000000002</v>
      </c>
      <c r="C86" s="2">
        <v>5.0500000000000003E-2</v>
      </c>
      <c r="D86" s="2">
        <v>9.9400000000000002E-2</v>
      </c>
      <c r="E86" s="13">
        <v>2.2999999999999998</v>
      </c>
      <c r="G86">
        <f t="shared" si="4"/>
        <v>807.89852128464179</v>
      </c>
      <c r="H86">
        <f t="shared" si="5"/>
        <v>5.5225172034015868</v>
      </c>
      <c r="I86">
        <f t="shared" si="6"/>
        <v>813.42103848804334</v>
      </c>
      <c r="J86">
        <f>J85*(1+B86)*(1-($E86*0.01))</f>
        <v>71.41085884945646</v>
      </c>
      <c r="K86">
        <f>K85*(1+C86)*(1-($E86*0.01))</f>
        <v>0.24295983758199885</v>
      </c>
      <c r="L86">
        <f t="shared" si="7"/>
        <v>71.653818687038452</v>
      </c>
    </row>
    <row r="87" spans="1:12" ht="15.75" x14ac:dyDescent="0.25">
      <c r="A87" s="14">
        <v>1998</v>
      </c>
      <c r="B87" s="1">
        <v>0.28339999999999999</v>
      </c>
      <c r="C87" s="1">
        <v>4.7300000000000002E-2</v>
      </c>
      <c r="D87" s="1">
        <v>0.1492</v>
      </c>
      <c r="E87" s="15">
        <v>1.6</v>
      </c>
      <c r="G87">
        <f t="shared" si="4"/>
        <v>1036.8569622167092</v>
      </c>
      <c r="H87">
        <f t="shared" si="5"/>
        <v>6.3464767701491036</v>
      </c>
      <c r="I87">
        <f t="shared" si="6"/>
        <v>1043.2034389868584</v>
      </c>
      <c r="J87">
        <f>J86*(1+B87)*(1-($E87*0.01))</f>
        <v>90.18231710743413</v>
      </c>
      <c r="K87">
        <f>K86*(1+C87)*(1-($E87*0.01))</f>
        <v>0.25038060849323335</v>
      </c>
      <c r="L87">
        <f t="shared" si="7"/>
        <v>90.432697715927361</v>
      </c>
    </row>
    <row r="88" spans="1:12" ht="15.75" x14ac:dyDescent="0.25">
      <c r="A88" s="12">
        <v>1999</v>
      </c>
      <c r="B88" s="2">
        <v>0.2089</v>
      </c>
      <c r="C88" s="2">
        <v>4.5100000000000001E-2</v>
      </c>
      <c r="D88" s="2">
        <v>-8.2500000000000004E-2</v>
      </c>
      <c r="E88" s="13">
        <v>2.2000000000000002</v>
      </c>
      <c r="G88">
        <f t="shared" si="4"/>
        <v>1253.4563816237799</v>
      </c>
      <c r="H88">
        <f t="shared" si="5"/>
        <v>5.8228924366118022</v>
      </c>
      <c r="I88">
        <f t="shared" si="6"/>
        <v>1259.2792740603916</v>
      </c>
      <c r="J88">
        <f>J87*(1+B88)*(1-($E88*0.01))</f>
        <v>106.62293228185122</v>
      </c>
      <c r="K88">
        <f>K87*(1+C88)*(1-($E88*0.01))</f>
        <v>0.25591597290967999</v>
      </c>
      <c r="L88">
        <f t="shared" si="7"/>
        <v>106.8788482547609</v>
      </c>
    </row>
    <row r="89" spans="1:12" ht="15.75" x14ac:dyDescent="0.25">
      <c r="A89" s="14">
        <v>2000</v>
      </c>
      <c r="B89" s="1">
        <v>-9.0300000000000005E-2</v>
      </c>
      <c r="C89" s="1">
        <v>5.7599999999999998E-2</v>
      </c>
      <c r="D89" s="1">
        <v>0.1666</v>
      </c>
      <c r="E89" s="15">
        <v>3.4</v>
      </c>
      <c r="G89">
        <f t="shared" si="4"/>
        <v>1140.2692703631524</v>
      </c>
      <c r="H89">
        <f t="shared" si="5"/>
        <v>6.7929863165513291</v>
      </c>
      <c r="I89">
        <f t="shared" si="6"/>
        <v>1147.0622566797038</v>
      </c>
      <c r="J89">
        <f>J88*(1+B89)*(1-($E89*0.01))</f>
        <v>93.697055525908837</v>
      </c>
      <c r="K89">
        <f>K88*(1+C89)*(1-($E89*0.01))</f>
        <v>0.26145440402900211</v>
      </c>
      <c r="L89">
        <f t="shared" si="7"/>
        <v>93.958509929937833</v>
      </c>
    </row>
    <row r="90" spans="1:12" ht="15.75" x14ac:dyDescent="0.25">
      <c r="A90" s="12">
        <v>2001</v>
      </c>
      <c r="B90" s="2">
        <v>-0.11849999999999999</v>
      </c>
      <c r="C90" s="2">
        <v>3.6700000000000003E-2</v>
      </c>
      <c r="D90" s="2">
        <v>5.57E-2</v>
      </c>
      <c r="E90" s="13">
        <v>2.8</v>
      </c>
      <c r="G90">
        <f t="shared" si="4"/>
        <v>1005.1473618251188</v>
      </c>
      <c r="H90">
        <f t="shared" si="5"/>
        <v>7.1713556543832384</v>
      </c>
      <c r="I90">
        <f t="shared" si="6"/>
        <v>1012.318717479502</v>
      </c>
      <c r="J90">
        <f>J89*(1+B90)*(1-($E90*0.01))</f>
        <v>80.281323721598142</v>
      </c>
      <c r="K90">
        <f>K89*(1+C90)*(1-($E90*0.01))</f>
        <v>0.26346038679847422</v>
      </c>
      <c r="L90">
        <f t="shared" si="7"/>
        <v>80.544784108396613</v>
      </c>
    </row>
    <row r="91" spans="1:12" ht="15.75" x14ac:dyDescent="0.25">
      <c r="A91" s="14">
        <v>2002</v>
      </c>
      <c r="B91" s="1">
        <v>-0.21970000000000001</v>
      </c>
      <c r="C91" s="1">
        <v>1.66E-2</v>
      </c>
      <c r="D91" s="1">
        <v>0.1512</v>
      </c>
      <c r="E91" s="15">
        <v>1.6</v>
      </c>
      <c r="G91">
        <f t="shared" si="4"/>
        <v>784.31648643214021</v>
      </c>
      <c r="H91">
        <f t="shared" si="5"/>
        <v>8.2556646293259845</v>
      </c>
      <c r="I91">
        <f t="shared" si="6"/>
        <v>792.57215106146623</v>
      </c>
      <c r="J91">
        <f>J90*(1+B91)*(1-($E91*0.01))</f>
        <v>61.64122062956362</v>
      </c>
      <c r="K91">
        <f>K90*(1+C91)*(1-($E91*0.01))</f>
        <v>0.26354848795181957</v>
      </c>
      <c r="L91">
        <f t="shared" si="7"/>
        <v>61.904769117515443</v>
      </c>
    </row>
    <row r="92" spans="1:12" ht="15.75" x14ac:dyDescent="0.25">
      <c r="A92" s="12">
        <v>2003</v>
      </c>
      <c r="B92" s="2">
        <v>0.28360000000000002</v>
      </c>
      <c r="C92" s="2">
        <v>1.03E-2</v>
      </c>
      <c r="D92" s="2">
        <v>3.8E-3</v>
      </c>
      <c r="E92" s="13">
        <v>2.2999999999999998</v>
      </c>
      <c r="G92">
        <f t="shared" si="4"/>
        <v>1006.7486419842952</v>
      </c>
      <c r="H92">
        <f t="shared" si="5"/>
        <v>8.2870361549174234</v>
      </c>
      <c r="I92">
        <f t="shared" si="6"/>
        <v>1015.0356781392127</v>
      </c>
      <c r="J92">
        <f>J91*(1+B92)*(1-($E92*0.01))</f>
        <v>77.302849371705392</v>
      </c>
      <c r="K92">
        <f>K91*(1+C92)*(1-($E92*0.01))</f>
        <v>0.26013898751803566</v>
      </c>
      <c r="L92">
        <f t="shared" si="7"/>
        <v>77.562988359223425</v>
      </c>
    </row>
    <row r="93" spans="1:12" ht="15.75" x14ac:dyDescent="0.25">
      <c r="A93" s="14">
        <v>2004</v>
      </c>
      <c r="B93" s="1">
        <v>0.1074</v>
      </c>
      <c r="C93" s="1">
        <v>1.23E-2</v>
      </c>
      <c r="D93" s="1">
        <v>4.4900000000000002E-2</v>
      </c>
      <c r="E93" s="15">
        <v>2.7</v>
      </c>
      <c r="G93">
        <f t="shared" si="4"/>
        <v>1114.8734461334084</v>
      </c>
      <c r="H93">
        <f t="shared" si="5"/>
        <v>8.6591240782732157</v>
      </c>
      <c r="I93">
        <f t="shared" si="6"/>
        <v>1123.5325702116816</v>
      </c>
      <c r="J93">
        <f>J92*(1+B93)*(1-($E93*0.01))</f>
        <v>83.293835658582424</v>
      </c>
      <c r="K93">
        <f>K92*(1+C93)*(1-($E93*0.01))</f>
        <v>0.25622855224376578</v>
      </c>
      <c r="L93">
        <f t="shared" si="7"/>
        <v>83.550064210826193</v>
      </c>
    </row>
    <row r="94" spans="1:12" ht="15.75" x14ac:dyDescent="0.25">
      <c r="A94" s="12">
        <v>2005</v>
      </c>
      <c r="B94" s="2">
        <v>4.8300000000000003E-2</v>
      </c>
      <c r="C94" s="2">
        <v>3.0099999999999998E-2</v>
      </c>
      <c r="D94" s="2">
        <v>2.87E-2</v>
      </c>
      <c r="E94" s="13">
        <v>3.4</v>
      </c>
      <c r="G94">
        <f t="shared" si="4"/>
        <v>1168.7218335816519</v>
      </c>
      <c r="H94">
        <f t="shared" si="5"/>
        <v>8.9076409393196574</v>
      </c>
      <c r="I94">
        <f t="shared" si="6"/>
        <v>1177.6294745209716</v>
      </c>
      <c r="J94">
        <f>J93*(1+B94)*(1-($E94*0.01))</f>
        <v>84.348152371581634</v>
      </c>
      <c r="K94">
        <f>K93*(1+C94)*(1-($E94*0.01))</f>
        <v>0.25496703658964881</v>
      </c>
      <c r="L94">
        <f t="shared" si="7"/>
        <v>84.603119408171281</v>
      </c>
    </row>
    <row r="95" spans="1:12" ht="15.75" x14ac:dyDescent="0.25">
      <c r="A95" s="14">
        <v>2006</v>
      </c>
      <c r="B95" s="1">
        <v>0.15609999999999999</v>
      </c>
      <c r="C95" s="1">
        <v>4.6800000000000001E-2</v>
      </c>
      <c r="D95" s="1">
        <v>1.9599999999999999E-2</v>
      </c>
      <c r="E95" s="15">
        <v>3.2</v>
      </c>
      <c r="G95">
        <f t="shared" si="4"/>
        <v>1351.1593118037476</v>
      </c>
      <c r="H95">
        <f t="shared" si="5"/>
        <v>9.0822307017303228</v>
      </c>
      <c r="I95">
        <f t="shared" si="6"/>
        <v>1360.241542505478</v>
      </c>
      <c r="J95">
        <f>J94*(1+B95)*(1-($E95*0.01))</f>
        <v>94.39442219016837</v>
      </c>
      <c r="K95">
        <f>K94*(1+C95)*(1-($E95*0.01))</f>
        <v>0.25835871009717892</v>
      </c>
      <c r="L95">
        <f t="shared" si="7"/>
        <v>94.652780900265554</v>
      </c>
    </row>
    <row r="96" spans="1:12" ht="15.75" x14ac:dyDescent="0.25">
      <c r="A96" s="12">
        <v>2007</v>
      </c>
      <c r="B96" s="2">
        <v>5.4800000000000001E-2</v>
      </c>
      <c r="C96" s="2">
        <v>4.6399999999999997E-2</v>
      </c>
      <c r="D96" s="2">
        <v>0.1021</v>
      </c>
      <c r="E96" s="13">
        <v>2.8</v>
      </c>
      <c r="G96">
        <f t="shared" si="4"/>
        <v>1425.2028420905929</v>
      </c>
      <c r="H96">
        <f t="shared" si="5"/>
        <v>10.009526456376989</v>
      </c>
      <c r="I96">
        <f t="shared" si="6"/>
        <v>1435.2123685469699</v>
      </c>
      <c r="J96">
        <f>J95*(1+B96)*(1-($E96*0.01))</f>
        <v>96.779353903456283</v>
      </c>
      <c r="K96">
        <f>K95*(1+C96)*(1-($E96*0.01))</f>
        <v>0.26277685072680879</v>
      </c>
      <c r="L96">
        <f t="shared" si="7"/>
        <v>97.042130754183091</v>
      </c>
    </row>
    <row r="97" spans="1:12" ht="15.75" x14ac:dyDescent="0.25">
      <c r="A97" s="14">
        <v>2008</v>
      </c>
      <c r="B97" s="1">
        <v>-0.36549999999999999</v>
      </c>
      <c r="C97" s="1">
        <v>1.5900000000000001E-2</v>
      </c>
      <c r="D97" s="1">
        <v>0.20100000000000001</v>
      </c>
      <c r="E97" s="15">
        <v>3.8</v>
      </c>
      <c r="G97">
        <f t="shared" si="4"/>
        <v>904.29120330648129</v>
      </c>
      <c r="H97">
        <f t="shared" si="5"/>
        <v>12.021441274108764</v>
      </c>
      <c r="I97">
        <f t="shared" si="6"/>
        <v>916.31264458059002</v>
      </c>
      <c r="J97">
        <f>J96*(1+B97)*(1-($E97*0.01))</f>
        <v>59.073053049776782</v>
      </c>
      <c r="K97">
        <f>K96*(1+C97)*(1-($E97*0.01))</f>
        <v>0.25681071255253712</v>
      </c>
      <c r="L97">
        <f t="shared" si="7"/>
        <v>59.329863762329317</v>
      </c>
    </row>
    <row r="98" spans="1:12" ht="15.75" x14ac:dyDescent="0.25">
      <c r="A98" s="12">
        <v>2009</v>
      </c>
      <c r="B98" s="2">
        <v>0.25940000000000002</v>
      </c>
      <c r="C98" s="2">
        <v>1.4E-3</v>
      </c>
      <c r="D98" s="2">
        <v>-0.11119999999999999</v>
      </c>
      <c r="E98" s="13">
        <v>-0.4</v>
      </c>
      <c r="G98">
        <f t="shared" si="4"/>
        <v>1138.8643414441826</v>
      </c>
      <c r="H98">
        <f t="shared" si="5"/>
        <v>10.684657004427869</v>
      </c>
      <c r="I98">
        <f t="shared" si="6"/>
        <v>1149.5489984486105</v>
      </c>
      <c r="J98">
        <f>J97*(1+B98)*(1-($E98*0.01))</f>
        <v>74.694189422932439</v>
      </c>
      <c r="K98">
        <f>K97*(1+C98)*(1-($E98*0.01))</f>
        <v>0.25819892854031112</v>
      </c>
      <c r="L98">
        <f t="shared" si="7"/>
        <v>74.952388351472749</v>
      </c>
    </row>
    <row r="99" spans="1:12" ht="15.75" x14ac:dyDescent="0.25">
      <c r="A99" s="14">
        <v>2010</v>
      </c>
      <c r="B99" s="1">
        <v>0.1482</v>
      </c>
      <c r="C99" s="1">
        <v>1.2999999999999999E-3</v>
      </c>
      <c r="D99" s="1">
        <v>8.4599999999999995E-2</v>
      </c>
      <c r="E99" s="15">
        <v>1.6</v>
      </c>
      <c r="G99">
        <f t="shared" si="4"/>
        <v>1307.6440368462106</v>
      </c>
      <c r="H99">
        <f t="shared" si="5"/>
        <v>11.588578987002467</v>
      </c>
      <c r="I99">
        <f t="shared" si="6"/>
        <v>1319.232615833213</v>
      </c>
      <c r="J99">
        <f>J98*(1+B99)*(1-($E99*0.01))</f>
        <v>84.391646402684458</v>
      </c>
      <c r="K99">
        <f>K98*(1+C99)*(1-($E99*0.01))</f>
        <v>0.25439803375305492</v>
      </c>
      <c r="L99">
        <f t="shared" si="7"/>
        <v>84.646044436437506</v>
      </c>
    </row>
    <row r="100" spans="1:12" ht="15.75" x14ac:dyDescent="0.25">
      <c r="A100" s="12">
        <v>2011</v>
      </c>
      <c r="B100" s="2">
        <v>2.1000000000000001E-2</v>
      </c>
      <c r="C100" s="2">
        <v>2.9999999999999997E-4</v>
      </c>
      <c r="D100" s="2">
        <v>0.16039999999999999</v>
      </c>
      <c r="E100" s="13">
        <v>3.2</v>
      </c>
      <c r="G100">
        <f t="shared" si="4"/>
        <v>1335.1045616199808</v>
      </c>
      <c r="H100">
        <f t="shared" si="5"/>
        <v>13.447387056517664</v>
      </c>
      <c r="I100">
        <f t="shared" si="6"/>
        <v>1348.5519486764986</v>
      </c>
      <c r="J100">
        <f>J99*(1+B100)*(1-($E100*0.01))</f>
        <v>83.406627105872303</v>
      </c>
      <c r="K100">
        <f>K99*(1+C100)*(1-($E100*0.01))</f>
        <v>0.24633117386195905</v>
      </c>
      <c r="L100">
        <f t="shared" si="7"/>
        <v>83.652958279734264</v>
      </c>
    </row>
    <row r="101" spans="1:12" ht="15.75" x14ac:dyDescent="0.25">
      <c r="A101" s="14">
        <v>2012</v>
      </c>
      <c r="B101" s="1">
        <v>0.15890000000000001</v>
      </c>
      <c r="C101" s="1">
        <v>5.0000000000000001E-4</v>
      </c>
      <c r="D101" s="1">
        <v>2.9700000000000001E-2</v>
      </c>
      <c r="E101" s="15">
        <v>2.1</v>
      </c>
      <c r="G101">
        <f t="shared" si="4"/>
        <v>1547.2526764613958</v>
      </c>
      <c r="H101">
        <f t="shared" si="5"/>
        <v>13.846774452096239</v>
      </c>
      <c r="I101">
        <f t="shared" si="6"/>
        <v>1561.0994509134921</v>
      </c>
      <c r="J101">
        <f>J100*(1+B101)*(1-($E101*0.01))</f>
        <v>94.630081409782505</v>
      </c>
      <c r="K101">
        <f>K100*(1+C101)*(1-($E101*0.01))</f>
        <v>0.24127879832046331</v>
      </c>
      <c r="L101">
        <f t="shared" si="7"/>
        <v>94.871360208102971</v>
      </c>
    </row>
    <row r="102" spans="1:12" ht="15.75" x14ac:dyDescent="0.25">
      <c r="A102" s="12">
        <v>2013</v>
      </c>
      <c r="B102" s="2">
        <v>0.32150000000000001</v>
      </c>
      <c r="C102" s="2">
        <v>6.9999999999999999E-4</v>
      </c>
      <c r="D102" s="2">
        <v>-9.0999999999999998E-2</v>
      </c>
      <c r="E102" s="13">
        <v>1.5</v>
      </c>
      <c r="G102">
        <f t="shared" si="4"/>
        <v>2044.6944119437344</v>
      </c>
      <c r="H102">
        <f t="shared" si="5"/>
        <v>12.586717976955482</v>
      </c>
      <c r="I102">
        <f t="shared" si="6"/>
        <v>2057.2811299206901</v>
      </c>
      <c r="J102">
        <f>J101*(1+B102)*(1-($E102*0.01))</f>
        <v>123.17784779428216</v>
      </c>
      <c r="K102">
        <f>K101*(1+C102)*(1-($E102*0.01))</f>
        <v>0.23782597807709832</v>
      </c>
      <c r="L102">
        <f t="shared" si="7"/>
        <v>123.41567377235926</v>
      </c>
    </row>
    <row r="103" spans="1:12" ht="15.75" x14ac:dyDescent="0.25">
      <c r="A103" s="14">
        <v>2014</v>
      </c>
      <c r="B103" s="1">
        <v>0.13519999999999999</v>
      </c>
      <c r="C103" s="1">
        <v>5.0000000000000001E-4</v>
      </c>
      <c r="D103" s="1">
        <v>0.1075</v>
      </c>
      <c r="E103" s="16">
        <v>1.6</v>
      </c>
      <c r="G103">
        <f t="shared" si="4"/>
        <v>2321.1370964385274</v>
      </c>
      <c r="H103">
        <f t="shared" si="5"/>
        <v>13.939790159478195</v>
      </c>
      <c r="I103">
        <f t="shared" si="6"/>
        <v>2335.0768865980053</v>
      </c>
      <c r="J103">
        <f>J102*(1+B103)*(1-($E103*0.01))</f>
        <v>137.59418893101198</v>
      </c>
      <c r="K103">
        <f>K102*(1+C103)*(1-($E103*0.01))</f>
        <v>0.23413777280907866</v>
      </c>
      <c r="L103">
        <f t="shared" si="7"/>
        <v>137.82832670382106</v>
      </c>
    </row>
    <row r="104" spans="1:12" ht="15.75" x14ac:dyDescent="0.25">
      <c r="A104" s="17">
        <v>2015</v>
      </c>
      <c r="B104" s="2">
        <v>1.38E-2</v>
      </c>
      <c r="C104" s="4">
        <v>2.0999999999999999E-3</v>
      </c>
      <c r="D104" s="2">
        <v>1.2800000000000001E-2</v>
      </c>
      <c r="E104" s="13">
        <v>0.1</v>
      </c>
      <c r="G104">
        <f t="shared" si="4"/>
        <v>2353.1687883693789</v>
      </c>
      <c r="H104">
        <f t="shared" si="5"/>
        <v>14.118219473519515</v>
      </c>
      <c r="I104">
        <f t="shared" si="6"/>
        <v>2367.2870078428987</v>
      </c>
      <c r="J104">
        <f>J103*(1+B104)*(1-($E104*0.01))</f>
        <v>139.3534957495217</v>
      </c>
      <c r="K104">
        <f>K103*(1+C104)*(1-($E104*0.01))</f>
        <v>0.23439483266984573</v>
      </c>
      <c r="L104">
        <f t="shared" si="7"/>
        <v>139.58789058219153</v>
      </c>
    </row>
    <row r="105" spans="1:12" ht="15.75" x14ac:dyDescent="0.25">
      <c r="A105" s="18">
        <v>2016</v>
      </c>
      <c r="B105" s="1">
        <v>0.1177</v>
      </c>
      <c r="C105" s="3">
        <v>5.1000000000000004E-3</v>
      </c>
      <c r="D105" s="1">
        <v>6.8999999999999999E-3</v>
      </c>
      <c r="E105" s="16">
        <v>1.3</v>
      </c>
      <c r="G105">
        <f t="shared" si="4"/>
        <v>2630.1367547604546</v>
      </c>
      <c r="H105">
        <f t="shared" si="5"/>
        <v>14.215635187886798</v>
      </c>
      <c r="I105">
        <f t="shared" si="6"/>
        <v>2644.3523899483412</v>
      </c>
      <c r="J105">
        <f>J104*(1+B105)*(1-($E105*0.01))</f>
        <v>153.73058197065026</v>
      </c>
      <c r="K105">
        <f>K104*(1+C105)*(1-($E105*0.01))</f>
        <v>0.23252757311434796</v>
      </c>
      <c r="L105">
        <f t="shared" si="7"/>
        <v>153.9631095437646</v>
      </c>
    </row>
    <row r="106" spans="1:12" ht="16.5" thickBot="1" x14ac:dyDescent="0.3">
      <c r="A106" s="19">
        <v>2017</v>
      </c>
      <c r="B106" s="20">
        <v>0.21640000000000001</v>
      </c>
      <c r="C106" s="20">
        <v>1.3899999999999999E-2</v>
      </c>
      <c r="D106" s="20">
        <v>2.8000000000000001E-2</v>
      </c>
      <c r="E106" s="21">
        <v>2.1</v>
      </c>
      <c r="G106">
        <f t="shared" si="4"/>
        <v>3199.2983484906167</v>
      </c>
      <c r="H106">
        <f t="shared" si="5"/>
        <v>14.613672973147629</v>
      </c>
      <c r="I106">
        <f t="shared" si="6"/>
        <v>3213.9120214637642</v>
      </c>
      <c r="J106">
        <f>J105*(1+B106)*(1-($E106*0.01))</f>
        <v>183.07092443100788</v>
      </c>
      <c r="K106">
        <f>K105*(1+C106)*(1-($E106*0.01))</f>
        <v>0.23080875254664401</v>
      </c>
      <c r="L106">
        <f t="shared" si="7"/>
        <v>183.30173318355452</v>
      </c>
    </row>
  </sheetData>
  <mergeCells count="7">
    <mergeCell ref="A8:A16"/>
    <mergeCell ref="B8:B16"/>
    <mergeCell ref="C8:C16"/>
    <mergeCell ref="D8:D16"/>
    <mergeCell ref="E8:E16"/>
    <mergeCell ref="J14:L14"/>
    <mergeCell ref="G14:I1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Years to FI</vt:lpstr>
      <vt:lpstr>Portfolio Survivability</vt:lpstr>
      <vt:lpstr>Survivability Plot</vt:lpstr>
      <vt:lpstr>Influence of Allocation</vt:lpstr>
      <vt:lpstr>Investigate Inflation-Returns</vt:lpstr>
    </vt:vector>
  </TitlesOfParts>
  <Company>United States Army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Morey, Christopher D CTR (US)</dc:creator>
  <cp:lastModifiedBy>Morey, Christopher D CTR (US)</cp:lastModifiedBy>
  <dcterms:created xsi:type="dcterms:W3CDTF">2018-02-28T19:41:35Z</dcterms:created>
  <dcterms:modified xsi:type="dcterms:W3CDTF">2018-03-02T20:47:30Z</dcterms:modified>
</cp:coreProperties>
</file>