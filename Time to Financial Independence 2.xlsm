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C:\Users\MoreyCD\Desktop\PII_AMRDEC\Custom Net Worth Spreadsheet\"/>
    </mc:Choice>
  </mc:AlternateContent>
  <bookViews>
    <workbookView xWindow="0" yWindow="1260" windowWidth="23640" windowHeight="10890" activeTab="1"/>
  </bookViews>
  <sheets>
    <sheet name="Sheet2" sheetId="2" r:id="rId1"/>
    <sheet name="Market Returns" sheetId="1" r:id="rId2"/>
  </sheets>
  <calcPr calcId="152511"/>
  <fileRecoveryPr repairLoad="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I9" i="1" l="1"/>
  <c r="I13" i="1" s="1"/>
  <c r="I11" i="1"/>
  <c r="I14" i="1"/>
  <c r="I15" i="1"/>
  <c r="I16" i="1"/>
  <c r="H9" i="1"/>
  <c r="H13" i="1" s="1"/>
  <c r="H11" i="1"/>
  <c r="H14" i="1"/>
  <c r="H15" i="1"/>
  <c r="H16" i="1"/>
  <c r="G16" i="1"/>
  <c r="G15" i="1"/>
  <c r="G14" i="1"/>
  <c r="G11" i="1" l="1"/>
  <c r="G9" i="1"/>
  <c r="G13" i="1" s="1"/>
  <c r="B5" i="2"/>
</calcChain>
</file>

<file path=xl/sharedStrings.xml><?xml version="1.0" encoding="utf-8"?>
<sst xmlns="http://schemas.openxmlformats.org/spreadsheetml/2006/main" count="22" uniqueCount="21">
  <si>
    <t>S&amp;P 500</t>
  </si>
  <si>
    <t>Year</t>
  </si>
  <si>
    <t>https://seekingalpha.com/instablog/605212-robert-allan-schwartz/4831186-annual-returns-s-and-p-500-1928-2015</t>
  </si>
  <si>
    <t>http://pages.stern.nyu.edu/~adamodar/New_Home_Page/datafile/histretSP.html</t>
  </si>
  <si>
    <t>3-month T.Bill</t>
  </si>
  <si>
    <t>10-year T. Bond</t>
  </si>
  <si>
    <t>Stocks</t>
  </si>
  <si>
    <t>Inflation</t>
  </si>
  <si>
    <t>Sources</t>
  </si>
  <si>
    <t>http://www.usinflationcalculator.com/inflation/historical-inflation-rates/</t>
  </si>
  <si>
    <t>Annual Spending</t>
  </si>
  <si>
    <t>In 2018 dollars</t>
  </si>
  <si>
    <t>Withdrawal Rate</t>
  </si>
  <si>
    <t>Number Needed</t>
  </si>
  <si>
    <t>Savings Rate</t>
  </si>
  <si>
    <t>Annual Spend</t>
  </si>
  <si>
    <t>Bonds</t>
  </si>
  <si>
    <t>Target</t>
  </si>
  <si>
    <t>min years</t>
  </si>
  <si>
    <t>max years</t>
  </si>
  <si>
    <t>avg years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</si>
</sst>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2">
    <numFmt numFmtId="164" formatCode="&quot;$&quot;#,##0.00"/>
    <numFmt numFmtId="165" formatCode="0.0"/>
  </numFmts>
  <fonts count="7" x14ac:knownFonts="1">
    <font>
      <sz val="11"/>
      <color theme="1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2"/>
      <color rgb="FF000000"/>
      <name val="Calibri"/>
      <family val="2"/>
      <scheme val="minor"/>
    </font>
    <font>
      <b/>
      <i/>
      <sz val="12"/>
      <color rgb="FF000000"/>
      <name val="Calibri"/>
      <family val="2"/>
      <scheme val="minor"/>
    </font>
    <font>
      <sz val="11"/>
      <color rgb="FF000000"/>
      <name val="Calibri"/>
      <family val="2"/>
    </font>
    <font>
      <b/>
      <sz val="11"/>
      <color theme="1"/>
      <name val="Calibri"/>
      <family val="2"/>
      <scheme val="minor"/>
    </font>
  </fonts>
  <fills count="7">
    <fill>
      <patternFill patternType="none"/>
    </fill>
    <fill>
      <patternFill patternType="gray125"/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D9D9D9"/>
        <bgColor rgb="FFD9D9D9"/>
      </patternFill>
    </fill>
    <fill>
      <patternFill patternType="solid">
        <fgColor rgb="FFFFFFFF"/>
        <bgColor indexed="64"/>
      </patternFill>
    </fill>
    <fill>
      <patternFill patternType="solid">
        <fgColor rgb="FFDAE9FC"/>
        <bgColor indexed="64"/>
      </patternFill>
    </fill>
  </fills>
  <borders count="24">
    <border>
      <left/>
      <right/>
      <top/>
      <bottom/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rgb="FF000000"/>
      </left>
      <right style="medium">
        <color indexed="64"/>
      </right>
      <top/>
      <bottom style="thin">
        <color rgb="FF000000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rgb="FF000000"/>
      </left>
      <right style="medium">
        <color indexed="64"/>
      </right>
      <top style="thin">
        <color rgb="FF000000"/>
      </top>
      <bottom style="thin">
        <color rgb="FF000000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rgb="FF000000"/>
      </left>
      <right style="medium">
        <color indexed="64"/>
      </right>
      <top style="thin">
        <color rgb="FF000000"/>
      </top>
      <bottom style="medium">
        <color indexed="64"/>
      </bottom>
      <diagonal/>
    </border>
    <border>
      <left style="thin">
        <color rgb="FF7F7F7F"/>
      </left>
      <right style="thin">
        <color rgb="FF7F7F7F"/>
      </right>
      <top style="thin">
        <color indexed="64"/>
      </top>
      <bottom style="thin">
        <color rgb="FF7F7F7F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</borders>
  <cellStyleXfs count="3">
    <xf numFmtId="0" fontId="0" fillId="0" borderId="0"/>
    <xf numFmtId="0" fontId="1" fillId="2" borderId="1" applyNumberFormat="0" applyAlignment="0" applyProtection="0"/>
    <xf numFmtId="0" fontId="2" fillId="3" borderId="1" applyNumberFormat="0" applyAlignment="0" applyProtection="0"/>
  </cellStyleXfs>
  <cellXfs count="45">
    <xf numFmtId="0" fontId="0" fillId="0" borderId="0" xfId="0"/>
    <xf numFmtId="10" fontId="3" fillId="4" borderId="2" xfId="0" applyNumberFormat="1" applyFont="1" applyFill="1" applyBorder="1" applyAlignment="1">
      <alignment vertical="center" wrapText="1"/>
    </xf>
    <xf numFmtId="10" fontId="3" fillId="0" borderId="2" xfId="0" applyNumberFormat="1" applyFont="1" applyBorder="1" applyAlignment="1">
      <alignment vertical="center" wrapText="1"/>
    </xf>
    <xf numFmtId="10" fontId="3" fillId="4" borderId="3" xfId="0" applyNumberFormat="1" applyFont="1" applyFill="1" applyBorder="1" applyAlignment="1">
      <alignment vertical="center" wrapText="1"/>
    </xf>
    <xf numFmtId="10" fontId="3" fillId="0" borderId="0" xfId="0" applyNumberFormat="1" applyFont="1" applyBorder="1" applyAlignment="1">
      <alignment vertical="center" wrapText="1"/>
    </xf>
    <xf numFmtId="9" fontId="0" fillId="0" borderId="0" xfId="0" applyNumberFormat="1"/>
    <xf numFmtId="164" fontId="0" fillId="0" borderId="0" xfId="0" applyNumberFormat="1"/>
    <xf numFmtId="10" fontId="3" fillId="4" borderId="5" xfId="0" applyNumberFormat="1" applyFont="1" applyFill="1" applyBorder="1" applyAlignment="1">
      <alignment vertical="center" wrapText="1"/>
    </xf>
    <xf numFmtId="0" fontId="0" fillId="0" borderId="0" xfId="0" applyBorder="1"/>
    <xf numFmtId="0" fontId="0" fillId="0" borderId="9" xfId="0" applyBorder="1"/>
    <xf numFmtId="0" fontId="3" fillId="4" borderId="11" xfId="0" applyFont="1" applyFill="1" applyBorder="1" applyAlignment="1">
      <alignment vertical="center" wrapText="1"/>
    </xf>
    <xf numFmtId="0" fontId="0" fillId="5" borderId="12" xfId="0" applyFill="1" applyBorder="1" applyAlignment="1">
      <alignment horizontal="center" vertical="center" wrapText="1"/>
    </xf>
    <xf numFmtId="0" fontId="3" fillId="0" borderId="13" xfId="0" applyFont="1" applyBorder="1" applyAlignment="1">
      <alignment vertical="center" wrapText="1"/>
    </xf>
    <xf numFmtId="0" fontId="0" fillId="6" borderId="14" xfId="0" applyFill="1" applyBorder="1" applyAlignment="1">
      <alignment horizontal="center" vertical="center" wrapText="1"/>
    </xf>
    <xf numFmtId="0" fontId="3" fillId="4" borderId="13" xfId="0" applyFont="1" applyFill="1" applyBorder="1" applyAlignment="1">
      <alignment vertical="center" wrapText="1"/>
    </xf>
    <xf numFmtId="0" fontId="0" fillId="5" borderId="14" xfId="0" applyFill="1" applyBorder="1" applyAlignment="1">
      <alignment horizontal="center" vertical="center" wrapText="1"/>
    </xf>
    <xf numFmtId="0" fontId="0" fillId="0" borderId="14" xfId="0" applyBorder="1" applyAlignment="1">
      <alignment horizontal="center" vertical="center" wrapText="1"/>
    </xf>
    <xf numFmtId="0" fontId="3" fillId="0" borderId="6" xfId="0" applyFont="1" applyBorder="1" applyAlignment="1">
      <alignment vertical="center" wrapText="1"/>
    </xf>
    <xf numFmtId="0" fontId="3" fillId="4" borderId="15" xfId="0" applyFont="1" applyFill="1" applyBorder="1" applyAlignment="1">
      <alignment vertical="center" wrapText="1"/>
    </xf>
    <xf numFmtId="0" fontId="3" fillId="0" borderId="16" xfId="0" applyFont="1" applyBorder="1" applyAlignment="1">
      <alignment vertical="center" wrapText="1"/>
    </xf>
    <xf numFmtId="10" fontId="3" fillId="0" borderId="17" xfId="0" applyNumberFormat="1" applyFont="1" applyBorder="1" applyAlignment="1">
      <alignment vertical="center" wrapText="1"/>
    </xf>
    <xf numFmtId="0" fontId="0" fillId="6" borderId="18" xfId="0" applyFill="1" applyBorder="1" applyAlignment="1">
      <alignment horizontal="center" vertical="center" wrapText="1"/>
    </xf>
    <xf numFmtId="0" fontId="2" fillId="3" borderId="1" xfId="2" applyBorder="1"/>
    <xf numFmtId="0" fontId="0" fillId="0" borderId="4" xfId="0" applyBorder="1"/>
    <xf numFmtId="9" fontId="1" fillId="2" borderId="19" xfId="1" applyNumberFormat="1" applyBorder="1"/>
    <xf numFmtId="9" fontId="1" fillId="2" borderId="20" xfId="1" applyNumberFormat="1" applyBorder="1"/>
    <xf numFmtId="9" fontId="2" fillId="3" borderId="0" xfId="2" applyNumberFormat="1" applyBorder="1"/>
    <xf numFmtId="9" fontId="1" fillId="2" borderId="0" xfId="1" applyNumberFormat="1" applyBorder="1"/>
    <xf numFmtId="0" fontId="4" fillId="0" borderId="6" xfId="0" applyFont="1" applyBorder="1" applyAlignment="1">
      <alignment horizontal="center" vertical="center" wrapText="1"/>
    </xf>
    <xf numFmtId="0" fontId="4" fillId="0" borderId="8" xfId="0" applyFont="1" applyBorder="1" applyAlignment="1">
      <alignment horizontal="center" vertical="center" wrapText="1"/>
    </xf>
    <xf numFmtId="0" fontId="4" fillId="0" borderId="0" xfId="0" applyFont="1" applyBorder="1" applyAlignment="1">
      <alignment horizontal="center" vertical="center" wrapText="1"/>
    </xf>
    <xf numFmtId="0" fontId="4" fillId="0" borderId="9" xfId="0" applyFont="1" applyBorder="1" applyAlignment="1">
      <alignment horizontal="center" vertical="center" wrapText="1"/>
    </xf>
    <xf numFmtId="0" fontId="4" fillId="0" borderId="7" xfId="0" applyFont="1" applyFill="1" applyBorder="1" applyAlignment="1">
      <alignment horizontal="center" vertical="center" wrapText="1"/>
    </xf>
    <xf numFmtId="0" fontId="4" fillId="0" borderId="10" xfId="0" applyFont="1" applyFill="1" applyBorder="1" applyAlignment="1">
      <alignment horizontal="center" vertical="center" wrapText="1"/>
    </xf>
    <xf numFmtId="0" fontId="4" fillId="0" borderId="21" xfId="0" applyFont="1" applyBorder="1" applyAlignment="1">
      <alignment horizontal="center" vertical="center" wrapText="1"/>
    </xf>
    <xf numFmtId="0" fontId="4" fillId="0" borderId="22" xfId="0" applyFont="1" applyBorder="1" applyAlignment="1">
      <alignment horizontal="center" vertical="center" wrapText="1"/>
    </xf>
    <xf numFmtId="0" fontId="4" fillId="0" borderId="23" xfId="0" applyFont="1" applyFill="1" applyBorder="1" applyAlignment="1">
      <alignment horizontal="center" vertical="center" wrapText="1"/>
    </xf>
    <xf numFmtId="0" fontId="6" fillId="0" borderId="21" xfId="0" applyFont="1" applyBorder="1"/>
    <xf numFmtId="0" fontId="6" fillId="0" borderId="22" xfId="0" applyFont="1" applyBorder="1"/>
    <xf numFmtId="0" fontId="6" fillId="0" borderId="6" xfId="0" applyFont="1" applyBorder="1"/>
    <xf numFmtId="0" fontId="6" fillId="0" borderId="0" xfId="0" applyFont="1" applyBorder="1"/>
    <xf numFmtId="0" fontId="6" fillId="0" borderId="8" xfId="0" applyFont="1" applyBorder="1"/>
    <xf numFmtId="0" fontId="6" fillId="0" borderId="9" xfId="0" applyFont="1" applyBorder="1"/>
    <xf numFmtId="165" fontId="6" fillId="0" borderId="9" xfId="0" applyNumberFormat="1" applyFont="1" applyBorder="1"/>
    <xf numFmtId="0" fontId="6" fillId="0" borderId="4" xfId="0" applyFont="1" applyBorder="1"/>
  </cellXfs>
  <cellStyles count="3">
    <cellStyle name="Calculation" xfId="2" builtinId="22"/>
    <cellStyle name="Input" xfId="1" builtinId="20"/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19050</xdr:colOff>
          <xdr:row>4</xdr:row>
          <xdr:rowOff>104775</xdr:rowOff>
        </xdr:from>
        <xdr:to>
          <xdr:col>7</xdr:col>
          <xdr:colOff>390525</xdr:colOff>
          <xdr:row>6</xdr:row>
          <xdr:rowOff>114300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Calculate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B5"/>
  <sheetViews>
    <sheetView workbookViewId="0">
      <selection activeCell="B5" sqref="B5"/>
    </sheetView>
  </sheetViews>
  <sheetFormatPr defaultRowHeight="15" x14ac:dyDescent="0.25"/>
  <cols>
    <col min="1" max="1" width="16.140625" bestFit="1" customWidth="1"/>
    <col min="2" max="2" width="12.7109375" bestFit="1" customWidth="1"/>
  </cols>
  <sheetData>
    <row r="1" spans="1:2" x14ac:dyDescent="0.25">
      <c r="A1" t="s">
        <v>11</v>
      </c>
    </row>
    <row r="3" spans="1:2" x14ac:dyDescent="0.25">
      <c r="A3" t="s">
        <v>10</v>
      </c>
      <c r="B3" s="6">
        <v>40000</v>
      </c>
    </row>
    <row r="4" spans="1:2" x14ac:dyDescent="0.25">
      <c r="A4" t="s">
        <v>12</v>
      </c>
      <c r="B4" s="5">
        <v>0.04</v>
      </c>
    </row>
    <row r="5" spans="1:2" x14ac:dyDescent="0.25">
      <c r="A5" t="s">
        <v>13</v>
      </c>
      <c r="B5" s="6">
        <f>B3/B4</f>
        <v>1000000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/>
  <dimension ref="A1:R106"/>
  <sheetViews>
    <sheetView tabSelected="1" topLeftCell="A19" workbookViewId="0">
      <selection activeCell="M24" sqref="M24"/>
    </sheetView>
  </sheetViews>
  <sheetFormatPr defaultRowHeight="15" x14ac:dyDescent="0.25"/>
  <cols>
    <col min="6" max="6" width="15.85546875" bestFit="1" customWidth="1"/>
    <col min="7" max="7" width="12" bestFit="1" customWidth="1"/>
  </cols>
  <sheetData>
    <row r="1" spans="1:18" x14ac:dyDescent="0.25">
      <c r="A1" t="s">
        <v>8</v>
      </c>
    </row>
    <row r="2" spans="1:18" x14ac:dyDescent="0.25">
      <c r="B2" t="s">
        <v>2</v>
      </c>
    </row>
    <row r="3" spans="1:18" x14ac:dyDescent="0.25">
      <c r="B3" t="s">
        <v>3</v>
      </c>
    </row>
    <row r="4" spans="1:18" x14ac:dyDescent="0.25">
      <c r="B4" t="s">
        <v>9</v>
      </c>
    </row>
    <row r="7" spans="1:18" ht="15.75" thickBot="1" x14ac:dyDescent="0.3"/>
    <row r="8" spans="1:18" ht="15" customHeight="1" x14ac:dyDescent="0.25">
      <c r="A8" s="34" t="s">
        <v>1</v>
      </c>
      <c r="B8" s="35" t="s">
        <v>0</v>
      </c>
      <c r="C8" s="35" t="s">
        <v>4</v>
      </c>
      <c r="D8" s="35" t="s">
        <v>5</v>
      </c>
      <c r="E8" s="36" t="s">
        <v>7</v>
      </c>
      <c r="F8" s="44" t="s">
        <v>14</v>
      </c>
      <c r="G8" s="24">
        <v>0.25</v>
      </c>
      <c r="H8" s="24">
        <v>0.5</v>
      </c>
      <c r="I8" s="24">
        <v>0.75</v>
      </c>
      <c r="J8" s="23"/>
      <c r="K8" s="23"/>
      <c r="L8" s="23"/>
      <c r="M8" s="23"/>
      <c r="N8" s="23"/>
      <c r="O8" s="23"/>
      <c r="P8" s="23"/>
      <c r="Q8" s="23"/>
      <c r="R8" s="23"/>
    </row>
    <row r="9" spans="1:18" ht="15" customHeight="1" x14ac:dyDescent="0.25">
      <c r="A9" s="28"/>
      <c r="B9" s="30"/>
      <c r="C9" s="30"/>
      <c r="D9" s="30"/>
      <c r="E9" s="32"/>
      <c r="F9" s="40" t="s">
        <v>15</v>
      </c>
      <c r="G9" s="22">
        <f>1-G8</f>
        <v>0.75</v>
      </c>
      <c r="H9" s="22">
        <f>1-H8</f>
        <v>0.5</v>
      </c>
      <c r="I9" s="22">
        <f>1-I8</f>
        <v>0.25</v>
      </c>
      <c r="J9" s="8"/>
      <c r="K9" s="8"/>
      <c r="L9" s="8"/>
      <c r="M9" s="8"/>
      <c r="N9" s="8"/>
      <c r="O9" s="8"/>
      <c r="P9" s="8"/>
      <c r="Q9" s="8"/>
      <c r="R9" s="8"/>
    </row>
    <row r="10" spans="1:18" ht="15" customHeight="1" x14ac:dyDescent="0.25">
      <c r="A10" s="28"/>
      <c r="B10" s="30"/>
      <c r="C10" s="30"/>
      <c r="D10" s="30"/>
      <c r="E10" s="32"/>
      <c r="F10" s="40" t="s">
        <v>6</v>
      </c>
      <c r="G10" s="25">
        <v>0.8</v>
      </c>
      <c r="H10" s="25">
        <v>0.8</v>
      </c>
      <c r="I10" s="25">
        <v>0.8</v>
      </c>
      <c r="J10" s="8"/>
      <c r="K10" s="8"/>
      <c r="L10" s="8"/>
      <c r="M10" s="8"/>
      <c r="N10" s="8"/>
      <c r="O10" s="8"/>
      <c r="P10" s="8"/>
      <c r="Q10" s="8"/>
      <c r="R10" s="8"/>
    </row>
    <row r="11" spans="1:18" ht="15" customHeight="1" x14ac:dyDescent="0.25">
      <c r="A11" s="28"/>
      <c r="B11" s="30"/>
      <c r="C11" s="30"/>
      <c r="D11" s="30"/>
      <c r="E11" s="32"/>
      <c r="F11" s="40" t="s">
        <v>16</v>
      </c>
      <c r="G11" s="26">
        <f>100%-G10</f>
        <v>0.19999999999999996</v>
      </c>
      <c r="H11" s="26">
        <f>100%-H10</f>
        <v>0.19999999999999996</v>
      </c>
      <c r="I11" s="26">
        <f>100%-I10</f>
        <v>0.19999999999999996</v>
      </c>
      <c r="J11" s="8"/>
      <c r="K11" s="8"/>
      <c r="L11" s="8"/>
      <c r="M11" s="8"/>
      <c r="N11" s="8"/>
      <c r="O11" s="8"/>
      <c r="P11" s="8"/>
      <c r="Q11" s="8"/>
      <c r="R11" s="8"/>
    </row>
    <row r="12" spans="1:18" ht="15" customHeight="1" x14ac:dyDescent="0.25">
      <c r="A12" s="28"/>
      <c r="B12" s="30"/>
      <c r="C12" s="30"/>
      <c r="D12" s="30"/>
      <c r="E12" s="32"/>
      <c r="F12" s="40" t="s">
        <v>12</v>
      </c>
      <c r="G12" s="27">
        <v>0.04</v>
      </c>
      <c r="H12" s="27">
        <v>0.04</v>
      </c>
      <c r="I12" s="27">
        <v>0.04</v>
      </c>
      <c r="J12" s="8"/>
      <c r="K12" s="8"/>
      <c r="L12" s="8"/>
      <c r="M12" s="8"/>
      <c r="N12" s="8"/>
      <c r="O12" s="8"/>
      <c r="P12" s="8"/>
      <c r="Q12" s="8"/>
      <c r="R12" s="8"/>
    </row>
    <row r="13" spans="1:18" ht="15.75" customHeight="1" thickBot="1" x14ac:dyDescent="0.3">
      <c r="A13" s="28"/>
      <c r="B13" s="30"/>
      <c r="C13" s="30"/>
      <c r="D13" s="30"/>
      <c r="E13" s="32"/>
      <c r="F13" s="42" t="s">
        <v>17</v>
      </c>
      <c r="G13" s="9">
        <f>G9/G12</f>
        <v>18.75</v>
      </c>
      <c r="H13" s="9">
        <f>H9/H12</f>
        <v>12.5</v>
      </c>
      <c r="I13" s="9">
        <f>I9/I12</f>
        <v>6.25</v>
      </c>
      <c r="J13" s="9"/>
      <c r="K13" s="9"/>
      <c r="L13" s="9"/>
      <c r="M13" s="9"/>
      <c r="N13" s="9"/>
      <c r="O13" s="9"/>
      <c r="P13" s="9"/>
      <c r="Q13" s="9"/>
      <c r="R13" s="9"/>
    </row>
    <row r="14" spans="1:18" x14ac:dyDescent="0.25">
      <c r="A14" s="28"/>
      <c r="B14" s="30"/>
      <c r="C14" s="30"/>
      <c r="D14" s="30"/>
      <c r="E14" s="32"/>
      <c r="F14" s="37" t="s">
        <v>18</v>
      </c>
      <c r="G14" s="38">
        <f>MIN(G17:G106)</f>
        <v>19</v>
      </c>
      <c r="H14" s="38">
        <f>MIN(H17:H106)</f>
        <v>11</v>
      </c>
      <c r="I14" s="38">
        <f>MIN(I17:I106)</f>
        <v>5</v>
      </c>
      <c r="J14" s="38"/>
      <c r="K14" s="38"/>
      <c r="L14" s="38"/>
      <c r="M14" s="38"/>
      <c r="N14" s="38"/>
      <c r="O14" s="38"/>
      <c r="P14" s="38"/>
      <c r="Q14" s="38"/>
      <c r="R14" s="38"/>
    </row>
    <row r="15" spans="1:18" x14ac:dyDescent="0.25">
      <c r="A15" s="28"/>
      <c r="B15" s="30"/>
      <c r="C15" s="30"/>
      <c r="D15" s="30"/>
      <c r="E15" s="32"/>
      <c r="F15" s="39" t="s">
        <v>19</v>
      </c>
      <c r="G15" s="40">
        <f>MAX(G17:G106)</f>
        <v>37</v>
      </c>
      <c r="H15" s="40">
        <f>MAX(H17:H106)</f>
        <v>24</v>
      </c>
      <c r="I15" s="40">
        <f>MAX(I17:I106)</f>
        <v>9</v>
      </c>
      <c r="J15" s="40"/>
      <c r="K15" s="40"/>
      <c r="L15" s="40"/>
      <c r="M15" s="40"/>
      <c r="N15" s="40"/>
      <c r="O15" s="40"/>
      <c r="P15" s="40"/>
      <c r="Q15" s="40"/>
      <c r="R15" s="40"/>
    </row>
    <row r="16" spans="1:18" ht="15.75" thickBot="1" x14ac:dyDescent="0.3">
      <c r="A16" s="29"/>
      <c r="B16" s="31"/>
      <c r="C16" s="31"/>
      <c r="D16" s="31"/>
      <c r="E16" s="33"/>
      <c r="F16" s="41" t="s">
        <v>20</v>
      </c>
      <c r="G16" s="43">
        <f>AVERAGE(G17:G106)</f>
        <v>27.225806451612904</v>
      </c>
      <c r="H16" s="43">
        <f>AVERAGE(H17:H106)</f>
        <v>15.342105263157896</v>
      </c>
      <c r="I16" s="43">
        <f>AVERAGE(I17:I106)</f>
        <v>6.5476190476190474</v>
      </c>
      <c r="J16" s="42"/>
      <c r="K16" s="42"/>
      <c r="L16" s="42"/>
      <c r="M16" s="42"/>
      <c r="N16" s="42"/>
      <c r="O16" s="42"/>
      <c r="P16" s="42"/>
      <c r="Q16" s="42"/>
      <c r="R16" s="42"/>
    </row>
    <row r="17" spans="1:9" ht="15.75" x14ac:dyDescent="0.25">
      <c r="A17" s="10">
        <v>1928</v>
      </c>
      <c r="B17" s="7">
        <v>0.43809999999999999</v>
      </c>
      <c r="C17" s="7">
        <v>3.0800000000000001E-2</v>
      </c>
      <c r="D17" s="7">
        <v>8.3999999999999995E-3</v>
      </c>
      <c r="E17" s="11">
        <v>-1.7</v>
      </c>
      <c r="G17">
        <v>27</v>
      </c>
      <c r="H17">
        <v>17</v>
      </c>
      <c r="I17">
        <v>7</v>
      </c>
    </row>
    <row r="18" spans="1:9" ht="15.75" x14ac:dyDescent="0.25">
      <c r="A18" s="12">
        <v>1929</v>
      </c>
      <c r="B18" s="2">
        <v>-8.3000000000000004E-2</v>
      </c>
      <c r="C18" s="2">
        <v>3.1600000000000003E-2</v>
      </c>
      <c r="D18" s="2">
        <v>4.2000000000000003E-2</v>
      </c>
      <c r="E18" s="13">
        <v>0</v>
      </c>
      <c r="G18">
        <v>26</v>
      </c>
      <c r="H18">
        <v>16</v>
      </c>
      <c r="I18">
        <v>6</v>
      </c>
    </row>
    <row r="19" spans="1:9" ht="15.75" x14ac:dyDescent="0.25">
      <c r="A19" s="14">
        <v>1930</v>
      </c>
      <c r="B19" s="1">
        <v>-0.25119999999999998</v>
      </c>
      <c r="C19" s="1">
        <v>4.5499999999999999E-2</v>
      </c>
      <c r="D19" s="1">
        <v>4.5400000000000003E-2</v>
      </c>
      <c r="E19" s="15">
        <v>-2.2999999999999998</v>
      </c>
      <c r="G19">
        <v>25</v>
      </c>
      <c r="H19">
        <v>15</v>
      </c>
      <c r="I19">
        <v>5</v>
      </c>
    </row>
    <row r="20" spans="1:9" ht="15.75" x14ac:dyDescent="0.25">
      <c r="A20" s="12">
        <v>1931</v>
      </c>
      <c r="B20" s="2">
        <v>-0.43840000000000001</v>
      </c>
      <c r="C20" s="2">
        <v>2.3099999999999999E-2</v>
      </c>
      <c r="D20" s="2">
        <v>-2.5600000000000001E-2</v>
      </c>
      <c r="E20" s="13">
        <v>-9</v>
      </c>
      <c r="G20">
        <v>24</v>
      </c>
      <c r="H20">
        <v>14</v>
      </c>
      <c r="I20">
        <v>5</v>
      </c>
    </row>
    <row r="21" spans="1:9" ht="15.75" x14ac:dyDescent="0.25">
      <c r="A21" s="14">
        <v>1932</v>
      </c>
      <c r="B21" s="1">
        <v>-8.6400000000000005E-2</v>
      </c>
      <c r="C21" s="1">
        <v>1.0699999999999999E-2</v>
      </c>
      <c r="D21" s="1">
        <v>8.7900000000000006E-2</v>
      </c>
      <c r="E21" s="15">
        <v>-9.9</v>
      </c>
      <c r="G21">
        <v>24</v>
      </c>
      <c r="H21">
        <v>18</v>
      </c>
      <c r="I21">
        <v>6</v>
      </c>
    </row>
    <row r="22" spans="1:9" ht="15.75" x14ac:dyDescent="0.25">
      <c r="A22" s="12">
        <v>1933</v>
      </c>
      <c r="B22" s="2">
        <v>0.49980000000000002</v>
      </c>
      <c r="C22" s="2">
        <v>9.5999999999999992E-3</v>
      </c>
      <c r="D22" s="2">
        <v>1.8599999999999998E-2</v>
      </c>
      <c r="E22" s="13">
        <v>-5.0999999999999996</v>
      </c>
      <c r="G22">
        <v>25</v>
      </c>
      <c r="H22">
        <v>17</v>
      </c>
      <c r="I22">
        <v>7</v>
      </c>
    </row>
    <row r="23" spans="1:9" ht="15.75" x14ac:dyDescent="0.25">
      <c r="A23" s="14">
        <v>1934</v>
      </c>
      <c r="B23" s="1">
        <v>-1.1900000000000001E-2</v>
      </c>
      <c r="C23" s="1">
        <v>3.2000000000000002E-3</v>
      </c>
      <c r="D23" s="1">
        <v>7.9600000000000004E-2</v>
      </c>
      <c r="E23" s="15">
        <v>3.1</v>
      </c>
      <c r="G23">
        <v>24</v>
      </c>
      <c r="H23">
        <v>17</v>
      </c>
      <c r="I23">
        <v>8</v>
      </c>
    </row>
    <row r="24" spans="1:9" ht="15.75" x14ac:dyDescent="0.25">
      <c r="A24" s="12">
        <v>1935</v>
      </c>
      <c r="B24" s="2">
        <v>0.46739999999999998</v>
      </c>
      <c r="C24" s="2">
        <v>1.8E-3</v>
      </c>
      <c r="D24" s="2">
        <v>4.4699999999999997E-2</v>
      </c>
      <c r="E24" s="13">
        <v>2.2000000000000002</v>
      </c>
      <c r="G24">
        <v>24</v>
      </c>
      <c r="H24">
        <v>16</v>
      </c>
      <c r="I24">
        <v>8</v>
      </c>
    </row>
    <row r="25" spans="1:9" ht="15.75" x14ac:dyDescent="0.25">
      <c r="A25" s="14">
        <v>1936</v>
      </c>
      <c r="B25" s="1">
        <v>0.31940000000000002</v>
      </c>
      <c r="C25" s="1">
        <v>1.6999999999999999E-3</v>
      </c>
      <c r="D25" s="1">
        <v>5.0200000000000002E-2</v>
      </c>
      <c r="E25" s="15">
        <v>1.5</v>
      </c>
      <c r="G25">
        <v>23</v>
      </c>
      <c r="H25">
        <v>16</v>
      </c>
      <c r="I25">
        <v>8</v>
      </c>
    </row>
    <row r="26" spans="1:9" ht="15.75" x14ac:dyDescent="0.25">
      <c r="A26" s="12">
        <v>1937</v>
      </c>
      <c r="B26" s="2">
        <v>-0.35339999999999999</v>
      </c>
      <c r="C26" s="2">
        <v>3.0000000000000001E-3</v>
      </c>
      <c r="D26" s="2">
        <v>1.38E-2</v>
      </c>
      <c r="E26" s="13">
        <v>3.6</v>
      </c>
      <c r="G26">
        <v>24</v>
      </c>
      <c r="H26">
        <v>15</v>
      </c>
      <c r="I26">
        <v>7</v>
      </c>
    </row>
    <row r="27" spans="1:9" ht="15.75" x14ac:dyDescent="0.25">
      <c r="A27" s="14">
        <v>1938</v>
      </c>
      <c r="B27" s="1">
        <v>0.2928</v>
      </c>
      <c r="C27" s="1">
        <v>8.0000000000000004E-4</v>
      </c>
      <c r="D27" s="1">
        <v>4.2099999999999999E-2</v>
      </c>
      <c r="E27" s="15">
        <v>-2.1</v>
      </c>
      <c r="G27">
        <v>23</v>
      </c>
      <c r="H27">
        <v>15</v>
      </c>
      <c r="I27">
        <v>7</v>
      </c>
    </row>
    <row r="28" spans="1:9" ht="15.75" x14ac:dyDescent="0.25">
      <c r="A28" s="12">
        <v>1939</v>
      </c>
      <c r="B28" s="2">
        <v>-1.0999999999999999E-2</v>
      </c>
      <c r="C28" s="2">
        <v>4.0000000000000002E-4</v>
      </c>
      <c r="D28" s="2">
        <v>4.41E-2</v>
      </c>
      <c r="E28" s="13">
        <v>-1.4</v>
      </c>
      <c r="G28">
        <v>22</v>
      </c>
      <c r="H28">
        <v>15</v>
      </c>
      <c r="I28">
        <v>6</v>
      </c>
    </row>
    <row r="29" spans="1:9" ht="15.75" x14ac:dyDescent="0.25">
      <c r="A29" s="14">
        <v>1940</v>
      </c>
      <c r="B29" s="1">
        <v>-0.1067</v>
      </c>
      <c r="C29" s="1">
        <v>2.9999999999999997E-4</v>
      </c>
      <c r="D29" s="1">
        <v>5.3999999999999999E-2</v>
      </c>
      <c r="E29" s="15">
        <v>0.7</v>
      </c>
      <c r="G29">
        <v>23</v>
      </c>
      <c r="H29">
        <v>14</v>
      </c>
      <c r="I29">
        <v>5</v>
      </c>
    </row>
    <row r="30" spans="1:9" ht="15.75" x14ac:dyDescent="0.25">
      <c r="A30" s="12">
        <v>1941</v>
      </c>
      <c r="B30" s="2">
        <v>-0.12770000000000001</v>
      </c>
      <c r="C30" s="2">
        <v>8.0000000000000004E-4</v>
      </c>
      <c r="D30" s="2">
        <v>-2.0199999999999999E-2</v>
      </c>
      <c r="E30" s="13">
        <v>5</v>
      </c>
      <c r="G30">
        <v>22</v>
      </c>
      <c r="H30">
        <v>13</v>
      </c>
      <c r="I30">
        <v>8</v>
      </c>
    </row>
    <row r="31" spans="1:9" ht="15.75" x14ac:dyDescent="0.25">
      <c r="A31" s="14">
        <v>1942</v>
      </c>
      <c r="B31" s="1">
        <v>0.19170000000000001</v>
      </c>
      <c r="C31" s="1">
        <v>3.3999999999999998E-3</v>
      </c>
      <c r="D31" s="1">
        <v>2.29E-2</v>
      </c>
      <c r="E31" s="15">
        <v>10.9</v>
      </c>
      <c r="G31">
        <v>22</v>
      </c>
      <c r="H31">
        <v>12</v>
      </c>
      <c r="I31">
        <v>7</v>
      </c>
    </row>
    <row r="32" spans="1:9" ht="15.75" x14ac:dyDescent="0.25">
      <c r="A32" s="12">
        <v>1943</v>
      </c>
      <c r="B32" s="2">
        <v>0.25059999999999999</v>
      </c>
      <c r="C32" s="2">
        <v>3.8E-3</v>
      </c>
      <c r="D32" s="2">
        <v>2.4899999999999999E-2</v>
      </c>
      <c r="E32" s="13">
        <v>6.1</v>
      </c>
      <c r="G32">
        <v>22</v>
      </c>
      <c r="H32">
        <v>12</v>
      </c>
      <c r="I32">
        <v>7</v>
      </c>
    </row>
    <row r="33" spans="1:9" ht="15.75" x14ac:dyDescent="0.25">
      <c r="A33" s="14">
        <v>1944</v>
      </c>
      <c r="B33" s="1">
        <v>0.1903</v>
      </c>
      <c r="C33" s="1">
        <v>3.8E-3</v>
      </c>
      <c r="D33" s="1">
        <v>2.58E-2</v>
      </c>
      <c r="E33" s="15">
        <v>1.7</v>
      </c>
      <c r="G33">
        <v>23</v>
      </c>
      <c r="H33">
        <v>11</v>
      </c>
      <c r="I33">
        <v>6</v>
      </c>
    </row>
    <row r="34" spans="1:9" ht="15.75" x14ac:dyDescent="0.25">
      <c r="A34" s="12">
        <v>1945</v>
      </c>
      <c r="B34" s="2">
        <v>0.35820000000000002</v>
      </c>
      <c r="C34" s="2">
        <v>3.8E-3</v>
      </c>
      <c r="D34" s="2">
        <v>3.7999999999999999E-2</v>
      </c>
      <c r="E34" s="13">
        <v>2.2999999999999998</v>
      </c>
      <c r="G34">
        <v>23</v>
      </c>
      <c r="H34">
        <v>11</v>
      </c>
      <c r="I34">
        <v>6</v>
      </c>
    </row>
    <row r="35" spans="1:9" ht="15.75" x14ac:dyDescent="0.25">
      <c r="A35" s="14">
        <v>1946</v>
      </c>
      <c r="B35" s="1">
        <v>-8.43E-2</v>
      </c>
      <c r="C35" s="1">
        <v>3.8E-3</v>
      </c>
      <c r="D35" s="1">
        <v>3.1300000000000001E-2</v>
      </c>
      <c r="E35" s="15">
        <v>8.3000000000000007</v>
      </c>
      <c r="G35">
        <v>26</v>
      </c>
      <c r="H35">
        <v>12</v>
      </c>
      <c r="I35">
        <v>6</v>
      </c>
    </row>
    <row r="36" spans="1:9" ht="15.75" x14ac:dyDescent="0.25">
      <c r="A36" s="12">
        <v>1947</v>
      </c>
      <c r="B36" s="2">
        <v>5.1999999999999998E-2</v>
      </c>
      <c r="C36" s="2">
        <v>5.7000000000000002E-3</v>
      </c>
      <c r="D36" s="2">
        <v>9.1999999999999998E-3</v>
      </c>
      <c r="E36" s="13">
        <v>14.4</v>
      </c>
      <c r="G36">
        <v>36</v>
      </c>
      <c r="H36">
        <v>11</v>
      </c>
      <c r="I36">
        <v>5</v>
      </c>
    </row>
    <row r="37" spans="1:9" ht="15.75" x14ac:dyDescent="0.25">
      <c r="A37" s="14">
        <v>1948</v>
      </c>
      <c r="B37" s="1">
        <v>5.7000000000000002E-2</v>
      </c>
      <c r="C37" s="1">
        <v>1.0200000000000001E-2</v>
      </c>
      <c r="D37" s="1">
        <v>1.95E-2</v>
      </c>
      <c r="E37" s="15">
        <v>8.1</v>
      </c>
      <c r="G37">
        <v>37</v>
      </c>
      <c r="H37">
        <v>11</v>
      </c>
      <c r="I37">
        <v>6</v>
      </c>
    </row>
    <row r="38" spans="1:9" ht="15.75" x14ac:dyDescent="0.25">
      <c r="A38" s="12">
        <v>1949</v>
      </c>
      <c r="B38" s="2">
        <v>0.183</v>
      </c>
      <c r="C38" s="2">
        <v>1.0999999999999999E-2</v>
      </c>
      <c r="D38" s="2">
        <v>4.6600000000000003E-2</v>
      </c>
      <c r="E38" s="13">
        <v>-1.2</v>
      </c>
      <c r="G38">
        <v>36</v>
      </c>
      <c r="H38">
        <v>12</v>
      </c>
      <c r="I38">
        <v>5</v>
      </c>
    </row>
    <row r="39" spans="1:9" ht="15.75" x14ac:dyDescent="0.25">
      <c r="A39" s="14">
        <v>1950</v>
      </c>
      <c r="B39" s="1">
        <v>0.30809999999999998</v>
      </c>
      <c r="C39" s="1">
        <v>1.17E-2</v>
      </c>
      <c r="D39" s="1">
        <v>4.3E-3</v>
      </c>
      <c r="E39" s="15">
        <v>1.3</v>
      </c>
      <c r="G39">
        <v>35</v>
      </c>
      <c r="H39">
        <v>13</v>
      </c>
      <c r="I39">
        <v>5</v>
      </c>
    </row>
    <row r="40" spans="1:9" ht="15.75" x14ac:dyDescent="0.25">
      <c r="A40" s="12">
        <v>1951</v>
      </c>
      <c r="B40" s="2">
        <v>0.23680000000000001</v>
      </c>
      <c r="C40" s="2">
        <v>1.4800000000000001E-2</v>
      </c>
      <c r="D40" s="2">
        <v>-3.0000000000000001E-3</v>
      </c>
      <c r="E40" s="13">
        <v>7.9</v>
      </c>
      <c r="G40">
        <v>35</v>
      </c>
      <c r="H40">
        <v>13</v>
      </c>
      <c r="I40">
        <v>5</v>
      </c>
    </row>
    <row r="41" spans="1:9" ht="15.75" x14ac:dyDescent="0.25">
      <c r="A41" s="14">
        <v>1952</v>
      </c>
      <c r="B41" s="1">
        <v>0.18149999999999999</v>
      </c>
      <c r="C41" s="1">
        <v>1.67E-2</v>
      </c>
      <c r="D41" s="1">
        <v>2.2700000000000001E-2</v>
      </c>
      <c r="E41" s="15">
        <v>1.9</v>
      </c>
      <c r="G41">
        <v>34</v>
      </c>
      <c r="H41">
        <v>13</v>
      </c>
      <c r="I41">
        <v>6</v>
      </c>
    </row>
    <row r="42" spans="1:9" ht="15.75" x14ac:dyDescent="0.25">
      <c r="A42" s="12">
        <v>1953</v>
      </c>
      <c r="B42" s="2">
        <v>-1.21E-2</v>
      </c>
      <c r="C42" s="2">
        <v>1.89E-2</v>
      </c>
      <c r="D42" s="2">
        <v>4.1399999999999999E-2</v>
      </c>
      <c r="E42" s="13">
        <v>0.8</v>
      </c>
      <c r="G42">
        <v>35</v>
      </c>
      <c r="H42">
        <v>14</v>
      </c>
      <c r="I42">
        <v>5</v>
      </c>
    </row>
    <row r="43" spans="1:9" ht="15.75" x14ac:dyDescent="0.25">
      <c r="A43" s="14">
        <v>1954</v>
      </c>
      <c r="B43" s="1">
        <v>0.52559999999999996</v>
      </c>
      <c r="C43" s="1">
        <v>9.5999999999999992E-3</v>
      </c>
      <c r="D43" s="1">
        <v>3.2899999999999999E-2</v>
      </c>
      <c r="E43" s="15">
        <v>0.7</v>
      </c>
      <c r="G43">
        <v>35</v>
      </c>
      <c r="H43">
        <v>14</v>
      </c>
      <c r="I43">
        <v>6</v>
      </c>
    </row>
    <row r="44" spans="1:9" ht="15.75" x14ac:dyDescent="0.25">
      <c r="A44" s="12">
        <v>1955</v>
      </c>
      <c r="B44" s="2">
        <v>0.32600000000000001</v>
      </c>
      <c r="C44" s="2">
        <v>1.66E-2</v>
      </c>
      <c r="D44" s="2">
        <v>-1.34E-2</v>
      </c>
      <c r="E44" s="13">
        <v>-0.4</v>
      </c>
      <c r="G44">
        <v>34</v>
      </c>
      <c r="H44">
        <v>17</v>
      </c>
      <c r="I44">
        <v>6</v>
      </c>
    </row>
    <row r="45" spans="1:9" ht="15.75" x14ac:dyDescent="0.25">
      <c r="A45" s="14">
        <v>1956</v>
      </c>
      <c r="B45" s="1">
        <v>7.4399999999999994E-2</v>
      </c>
      <c r="C45" s="1">
        <v>2.5600000000000001E-2</v>
      </c>
      <c r="D45" s="1">
        <v>-2.2599999999999999E-2</v>
      </c>
      <c r="E45" s="15">
        <v>1.5</v>
      </c>
      <c r="G45">
        <v>33</v>
      </c>
      <c r="H45">
        <v>16</v>
      </c>
      <c r="I45">
        <v>6</v>
      </c>
    </row>
    <row r="46" spans="1:9" ht="15.75" x14ac:dyDescent="0.25">
      <c r="A46" s="12">
        <v>1957</v>
      </c>
      <c r="B46" s="2">
        <v>-0.1046</v>
      </c>
      <c r="C46" s="2">
        <v>3.2300000000000002E-2</v>
      </c>
      <c r="D46" s="2">
        <v>6.8000000000000005E-2</v>
      </c>
      <c r="E46" s="13">
        <v>3.3</v>
      </c>
      <c r="G46">
        <v>32</v>
      </c>
      <c r="H46">
        <v>23</v>
      </c>
      <c r="I46">
        <v>6</v>
      </c>
    </row>
    <row r="47" spans="1:9" ht="15.75" x14ac:dyDescent="0.25">
      <c r="A47" s="14">
        <v>1958</v>
      </c>
      <c r="B47" s="1">
        <v>0.43719999999999998</v>
      </c>
      <c r="C47" s="1">
        <v>1.78E-2</v>
      </c>
      <c r="D47" s="1">
        <v>-2.1000000000000001E-2</v>
      </c>
      <c r="E47" s="15">
        <v>2.8</v>
      </c>
      <c r="G47">
        <v>33</v>
      </c>
      <c r="H47">
        <v>24</v>
      </c>
      <c r="I47">
        <v>6</v>
      </c>
    </row>
    <row r="48" spans="1:9" ht="15.75" x14ac:dyDescent="0.25">
      <c r="A48" s="12">
        <v>1959</v>
      </c>
      <c r="B48" s="2">
        <v>0.1206</v>
      </c>
      <c r="C48" s="2">
        <v>3.2599999999999997E-2</v>
      </c>
      <c r="D48" s="2">
        <v>-2.6499999999999999E-2</v>
      </c>
      <c r="E48" s="13">
        <v>0.7</v>
      </c>
      <c r="G48">
        <v>32</v>
      </c>
      <c r="H48">
        <v>23</v>
      </c>
      <c r="I48">
        <v>6</v>
      </c>
    </row>
    <row r="49" spans="1:9" ht="15.75" x14ac:dyDescent="0.25">
      <c r="A49" s="14">
        <v>1960</v>
      </c>
      <c r="B49" s="1">
        <v>3.3999999999999998E-3</v>
      </c>
      <c r="C49" s="1">
        <v>3.0499999999999999E-2</v>
      </c>
      <c r="D49" s="1">
        <v>0.1164</v>
      </c>
      <c r="E49" s="15">
        <v>1.7</v>
      </c>
      <c r="G49">
        <v>31</v>
      </c>
      <c r="H49">
        <v>23</v>
      </c>
      <c r="I49">
        <v>7</v>
      </c>
    </row>
    <row r="50" spans="1:9" ht="15.75" x14ac:dyDescent="0.25">
      <c r="A50" s="12">
        <v>1961</v>
      </c>
      <c r="B50" s="2">
        <v>0.26640000000000003</v>
      </c>
      <c r="C50" s="2">
        <v>2.2700000000000001E-2</v>
      </c>
      <c r="D50" s="2">
        <v>2.06E-2</v>
      </c>
      <c r="E50" s="13">
        <v>1</v>
      </c>
      <c r="G50">
        <v>31</v>
      </c>
      <c r="H50">
        <v>22</v>
      </c>
      <c r="I50">
        <v>6</v>
      </c>
    </row>
    <row r="51" spans="1:9" ht="15.75" x14ac:dyDescent="0.25">
      <c r="A51" s="14">
        <v>1962</v>
      </c>
      <c r="B51" s="1">
        <v>-8.8099999999999998E-2</v>
      </c>
      <c r="C51" s="1">
        <v>2.7799999999999998E-2</v>
      </c>
      <c r="D51" s="1">
        <v>5.6899999999999999E-2</v>
      </c>
      <c r="E51" s="15">
        <v>1</v>
      </c>
      <c r="G51">
        <v>30</v>
      </c>
      <c r="H51">
        <v>21</v>
      </c>
      <c r="I51">
        <v>6</v>
      </c>
    </row>
    <row r="52" spans="1:9" ht="15.75" x14ac:dyDescent="0.25">
      <c r="A52" s="12">
        <v>1963</v>
      </c>
      <c r="B52" s="2">
        <v>0.2261</v>
      </c>
      <c r="C52" s="2">
        <v>3.1099999999999999E-2</v>
      </c>
      <c r="D52" s="2">
        <v>1.6799999999999999E-2</v>
      </c>
      <c r="E52" s="13">
        <v>1.3</v>
      </c>
      <c r="G52">
        <v>30</v>
      </c>
      <c r="H52">
        <v>21</v>
      </c>
      <c r="I52">
        <v>8</v>
      </c>
    </row>
    <row r="53" spans="1:9" ht="15.75" x14ac:dyDescent="0.25">
      <c r="A53" s="14">
        <v>1964</v>
      </c>
      <c r="B53" s="1">
        <v>0.16420000000000001</v>
      </c>
      <c r="C53" s="1">
        <v>3.5099999999999999E-2</v>
      </c>
      <c r="D53" s="1">
        <v>3.73E-2</v>
      </c>
      <c r="E53" s="15">
        <v>1.3</v>
      </c>
      <c r="G53">
        <v>31</v>
      </c>
      <c r="H53">
        <v>21</v>
      </c>
      <c r="I53">
        <v>7</v>
      </c>
    </row>
    <row r="54" spans="1:9" ht="15.75" x14ac:dyDescent="0.25">
      <c r="A54" s="12">
        <v>1965</v>
      </c>
      <c r="B54" s="2">
        <v>0.124</v>
      </c>
      <c r="C54" s="2">
        <v>3.9E-2</v>
      </c>
      <c r="D54" s="2">
        <v>7.1999999999999998E-3</v>
      </c>
      <c r="E54" s="13">
        <v>1.6</v>
      </c>
      <c r="G54">
        <v>30</v>
      </c>
      <c r="H54">
        <v>20</v>
      </c>
      <c r="I54">
        <v>7</v>
      </c>
    </row>
    <row r="55" spans="1:9" ht="15.75" x14ac:dyDescent="0.25">
      <c r="A55" s="14">
        <v>1966</v>
      </c>
      <c r="B55" s="1">
        <v>-9.9699999999999997E-2</v>
      </c>
      <c r="C55" s="1">
        <v>4.8399999999999999E-2</v>
      </c>
      <c r="D55" s="1">
        <v>2.9100000000000001E-2</v>
      </c>
      <c r="E55" s="15">
        <v>2.9</v>
      </c>
      <c r="G55">
        <v>29</v>
      </c>
      <c r="H55">
        <v>19</v>
      </c>
      <c r="I55">
        <v>9</v>
      </c>
    </row>
    <row r="56" spans="1:9" ht="15.75" x14ac:dyDescent="0.25">
      <c r="A56" s="12">
        <v>1967</v>
      </c>
      <c r="B56" s="2">
        <v>0.23799999999999999</v>
      </c>
      <c r="C56" s="2">
        <v>4.3299999999999998E-2</v>
      </c>
      <c r="D56" s="2">
        <v>-1.5800000000000002E-2</v>
      </c>
      <c r="E56" s="13">
        <v>3.1</v>
      </c>
      <c r="G56">
        <v>28</v>
      </c>
      <c r="H56">
        <v>18</v>
      </c>
      <c r="I56">
        <v>9</v>
      </c>
    </row>
    <row r="57" spans="1:9" ht="15.75" x14ac:dyDescent="0.25">
      <c r="A57" s="14">
        <v>1968</v>
      </c>
      <c r="B57" s="1">
        <v>0.1081</v>
      </c>
      <c r="C57" s="1">
        <v>5.2600000000000001E-2</v>
      </c>
      <c r="D57" s="1">
        <v>3.27E-2</v>
      </c>
      <c r="E57" s="15">
        <v>4.2</v>
      </c>
      <c r="G57">
        <v>27</v>
      </c>
      <c r="H57">
        <v>17</v>
      </c>
      <c r="I57">
        <v>8</v>
      </c>
    </row>
    <row r="58" spans="1:9" ht="15.75" x14ac:dyDescent="0.25">
      <c r="A58" s="12">
        <v>1969</v>
      </c>
      <c r="B58" s="2">
        <v>-8.2400000000000001E-2</v>
      </c>
      <c r="C58" s="2">
        <v>6.5600000000000006E-2</v>
      </c>
      <c r="D58" s="2">
        <v>-5.0099999999999999E-2</v>
      </c>
      <c r="E58" s="13">
        <v>5.5</v>
      </c>
      <c r="G58">
        <v>26</v>
      </c>
      <c r="H58">
        <v>17</v>
      </c>
      <c r="I58">
        <v>9</v>
      </c>
    </row>
    <row r="59" spans="1:9" ht="15.75" x14ac:dyDescent="0.25">
      <c r="A59" s="14">
        <v>1970</v>
      </c>
      <c r="B59" s="1">
        <v>3.56E-2</v>
      </c>
      <c r="C59" s="1">
        <v>6.6900000000000001E-2</v>
      </c>
      <c r="D59" s="1">
        <v>0.16750000000000001</v>
      </c>
      <c r="E59" s="15">
        <v>5.7</v>
      </c>
      <c r="G59">
        <v>25</v>
      </c>
      <c r="H59">
        <v>16</v>
      </c>
      <c r="I59">
        <v>9</v>
      </c>
    </row>
    <row r="60" spans="1:9" ht="15.75" x14ac:dyDescent="0.25">
      <c r="A60" s="12">
        <v>1971</v>
      </c>
      <c r="B60" s="2">
        <v>0.14219999999999999</v>
      </c>
      <c r="C60" s="2">
        <v>4.5400000000000003E-2</v>
      </c>
      <c r="D60" s="2">
        <v>9.7900000000000001E-2</v>
      </c>
      <c r="E60" s="13">
        <v>4.4000000000000004</v>
      </c>
      <c r="G60">
        <v>25</v>
      </c>
      <c r="H60">
        <v>15</v>
      </c>
      <c r="I60">
        <v>8</v>
      </c>
    </row>
    <row r="61" spans="1:9" ht="15.75" x14ac:dyDescent="0.25">
      <c r="A61" s="14">
        <v>1972</v>
      </c>
      <c r="B61" s="1">
        <v>0.18759999999999999</v>
      </c>
      <c r="C61" s="1">
        <v>3.95E-2</v>
      </c>
      <c r="D61" s="1">
        <v>2.8199999999999999E-2</v>
      </c>
      <c r="E61" s="15">
        <v>3.2</v>
      </c>
      <c r="G61">
        <v>24</v>
      </c>
      <c r="H61">
        <v>14</v>
      </c>
      <c r="I61">
        <v>8</v>
      </c>
    </row>
    <row r="62" spans="1:9" ht="15.75" x14ac:dyDescent="0.25">
      <c r="A62" s="12">
        <v>1973</v>
      </c>
      <c r="B62" s="2">
        <v>-0.1431</v>
      </c>
      <c r="C62" s="2">
        <v>6.7299999999999999E-2</v>
      </c>
      <c r="D62" s="2">
        <v>3.6600000000000001E-2</v>
      </c>
      <c r="E62" s="13">
        <v>6.2</v>
      </c>
      <c r="G62">
        <v>23</v>
      </c>
      <c r="H62">
        <v>15</v>
      </c>
      <c r="I62">
        <v>7</v>
      </c>
    </row>
    <row r="63" spans="1:9" ht="15.75" x14ac:dyDescent="0.25">
      <c r="A63" s="14">
        <v>1974</v>
      </c>
      <c r="B63" s="1">
        <v>-0.25900000000000001</v>
      </c>
      <c r="C63" s="1">
        <v>7.7799999999999994E-2</v>
      </c>
      <c r="D63" s="1">
        <v>1.9900000000000001E-2</v>
      </c>
      <c r="E63" s="15">
        <v>11</v>
      </c>
      <c r="G63">
        <v>23</v>
      </c>
      <c r="H63">
        <v>14</v>
      </c>
      <c r="I63">
        <v>8</v>
      </c>
    </row>
    <row r="64" spans="1:9" ht="15.75" x14ac:dyDescent="0.25">
      <c r="A64" s="12">
        <v>1975</v>
      </c>
      <c r="B64" s="2">
        <v>0.37</v>
      </c>
      <c r="C64" s="2">
        <v>5.9900000000000002E-2</v>
      </c>
      <c r="D64" s="2">
        <v>3.61E-2</v>
      </c>
      <c r="E64" s="13">
        <v>9.1</v>
      </c>
      <c r="G64">
        <v>22</v>
      </c>
      <c r="H64">
        <v>14</v>
      </c>
      <c r="I64">
        <v>7</v>
      </c>
    </row>
    <row r="65" spans="1:9" ht="15.75" x14ac:dyDescent="0.25">
      <c r="A65" s="14">
        <v>1976</v>
      </c>
      <c r="B65" s="1">
        <v>0.23830000000000001</v>
      </c>
      <c r="C65" s="1">
        <v>4.9700000000000001E-2</v>
      </c>
      <c r="D65" s="1">
        <v>0.1598</v>
      </c>
      <c r="E65" s="15">
        <v>5.8</v>
      </c>
      <c r="G65">
        <v>21</v>
      </c>
      <c r="H65">
        <v>13</v>
      </c>
      <c r="I65">
        <v>7</v>
      </c>
    </row>
    <row r="66" spans="1:9" ht="15.75" x14ac:dyDescent="0.25">
      <c r="A66" s="12">
        <v>1977</v>
      </c>
      <c r="B66" s="2">
        <v>-6.9800000000000001E-2</v>
      </c>
      <c r="C66" s="2">
        <v>5.1299999999999998E-2</v>
      </c>
      <c r="D66" s="2">
        <v>1.29E-2</v>
      </c>
      <c r="E66" s="13">
        <v>6.5</v>
      </c>
      <c r="G66">
        <v>21</v>
      </c>
      <c r="H66">
        <v>12</v>
      </c>
      <c r="I66">
        <v>6</v>
      </c>
    </row>
    <row r="67" spans="1:9" ht="15.75" x14ac:dyDescent="0.25">
      <c r="A67" s="14">
        <v>1978</v>
      </c>
      <c r="B67" s="1">
        <v>6.5100000000000005E-2</v>
      </c>
      <c r="C67" s="1">
        <v>6.93E-2</v>
      </c>
      <c r="D67" s="1">
        <v>-7.7999999999999996E-3</v>
      </c>
      <c r="E67" s="15">
        <v>7.6</v>
      </c>
      <c r="G67">
        <v>20</v>
      </c>
      <c r="H67">
        <v>13</v>
      </c>
      <c r="I67">
        <v>6</v>
      </c>
    </row>
    <row r="68" spans="1:9" ht="15.75" x14ac:dyDescent="0.25">
      <c r="A68" s="12">
        <v>1979</v>
      </c>
      <c r="B68" s="2">
        <v>0.1852</v>
      </c>
      <c r="C68" s="2">
        <v>9.9400000000000002E-2</v>
      </c>
      <c r="D68" s="2">
        <v>6.7000000000000002E-3</v>
      </c>
      <c r="E68" s="13">
        <v>11.3</v>
      </c>
      <c r="G68">
        <v>19</v>
      </c>
      <c r="H68">
        <v>12</v>
      </c>
      <c r="I68">
        <v>6</v>
      </c>
    </row>
    <row r="69" spans="1:9" ht="15.75" x14ac:dyDescent="0.25">
      <c r="A69" s="14">
        <v>1980</v>
      </c>
      <c r="B69" s="1">
        <v>0.31740000000000002</v>
      </c>
      <c r="C69" s="1">
        <v>0.11219999999999999</v>
      </c>
      <c r="D69" s="1">
        <v>-2.9899999999999999E-2</v>
      </c>
      <c r="E69" s="15">
        <v>13.5</v>
      </c>
      <c r="G69">
        <v>19</v>
      </c>
      <c r="H69">
        <v>13</v>
      </c>
      <c r="I69">
        <v>6</v>
      </c>
    </row>
    <row r="70" spans="1:9" ht="15.75" x14ac:dyDescent="0.25">
      <c r="A70" s="12">
        <v>1981</v>
      </c>
      <c r="B70" s="2">
        <v>-4.7E-2</v>
      </c>
      <c r="C70" s="2">
        <v>0.14299999999999999</v>
      </c>
      <c r="D70" s="2">
        <v>8.2000000000000003E-2</v>
      </c>
      <c r="E70" s="13">
        <v>10.3</v>
      </c>
      <c r="G70">
        <v>25</v>
      </c>
      <c r="H70">
        <v>14</v>
      </c>
      <c r="I70">
        <v>5</v>
      </c>
    </row>
    <row r="71" spans="1:9" ht="15.75" x14ac:dyDescent="0.25">
      <c r="A71" s="14">
        <v>1982</v>
      </c>
      <c r="B71" s="1">
        <v>0.20419999999999999</v>
      </c>
      <c r="C71" s="1">
        <v>0.1101</v>
      </c>
      <c r="D71" s="1">
        <v>0.3281</v>
      </c>
      <c r="E71" s="15">
        <v>6.2</v>
      </c>
      <c r="G71">
        <v>29</v>
      </c>
      <c r="H71">
        <v>13</v>
      </c>
      <c r="I71">
        <v>6</v>
      </c>
    </row>
    <row r="72" spans="1:9" ht="15.75" x14ac:dyDescent="0.25">
      <c r="A72" s="12">
        <v>1983</v>
      </c>
      <c r="B72" s="2">
        <v>0.22339999999999999</v>
      </c>
      <c r="C72" s="2">
        <v>8.4500000000000006E-2</v>
      </c>
      <c r="D72" s="2">
        <v>3.2000000000000001E-2</v>
      </c>
      <c r="E72" s="13">
        <v>3.2</v>
      </c>
      <c r="G72">
        <v>29</v>
      </c>
      <c r="H72">
        <v>12</v>
      </c>
      <c r="I72">
        <v>6</v>
      </c>
    </row>
    <row r="73" spans="1:9" ht="15.75" x14ac:dyDescent="0.25">
      <c r="A73" s="14">
        <v>1984</v>
      </c>
      <c r="B73" s="1">
        <v>6.1499999999999999E-2</v>
      </c>
      <c r="C73" s="1">
        <v>9.6100000000000005E-2</v>
      </c>
      <c r="D73" s="1">
        <v>0.13730000000000001</v>
      </c>
      <c r="E73" s="15">
        <v>4.3</v>
      </c>
      <c r="G73">
        <v>29</v>
      </c>
      <c r="H73">
        <v>12</v>
      </c>
      <c r="I73">
        <v>5</v>
      </c>
    </row>
    <row r="74" spans="1:9" ht="15.75" x14ac:dyDescent="0.25">
      <c r="A74" s="12">
        <v>1985</v>
      </c>
      <c r="B74" s="2">
        <v>0.31240000000000001</v>
      </c>
      <c r="C74" s="2">
        <v>7.4899999999999994E-2</v>
      </c>
      <c r="D74" s="2">
        <v>0.2571</v>
      </c>
      <c r="E74" s="13">
        <v>3.6</v>
      </c>
      <c r="G74">
        <v>28</v>
      </c>
      <c r="H74">
        <v>12</v>
      </c>
      <c r="I74">
        <v>6</v>
      </c>
    </row>
    <row r="75" spans="1:9" ht="15.75" x14ac:dyDescent="0.25">
      <c r="A75" s="14">
        <v>1986</v>
      </c>
      <c r="B75" s="1">
        <v>0.18490000000000001</v>
      </c>
      <c r="C75" s="1">
        <v>6.0400000000000002E-2</v>
      </c>
      <c r="D75" s="1">
        <v>0.24279999999999999</v>
      </c>
      <c r="E75" s="15">
        <v>1.9</v>
      </c>
      <c r="G75">
        <v>28</v>
      </c>
      <c r="H75">
        <v>11</v>
      </c>
      <c r="I75">
        <v>6</v>
      </c>
    </row>
    <row r="76" spans="1:9" ht="15.75" x14ac:dyDescent="0.25">
      <c r="A76" s="12">
        <v>1987</v>
      </c>
      <c r="B76" s="2">
        <v>5.8099999999999999E-2</v>
      </c>
      <c r="C76" s="2">
        <v>5.7200000000000001E-2</v>
      </c>
      <c r="D76" s="2">
        <v>-4.9599999999999998E-2</v>
      </c>
      <c r="E76" s="13">
        <v>3.6</v>
      </c>
      <c r="G76">
        <v>29</v>
      </c>
      <c r="H76">
        <v>11</v>
      </c>
      <c r="I76">
        <v>6</v>
      </c>
    </row>
    <row r="77" spans="1:9" ht="15.75" x14ac:dyDescent="0.25">
      <c r="A77" s="14">
        <v>1988</v>
      </c>
      <c r="B77" s="1">
        <v>0.16539999999999999</v>
      </c>
      <c r="C77" s="1">
        <v>6.4500000000000002E-2</v>
      </c>
      <c r="D77" s="1">
        <v>8.2199999999999995E-2</v>
      </c>
      <c r="E77" s="15">
        <v>4.0999999999999996</v>
      </c>
      <c r="G77">
        <v>29</v>
      </c>
      <c r="H77">
        <v>11</v>
      </c>
      <c r="I77">
        <v>7</v>
      </c>
    </row>
    <row r="78" spans="1:9" ht="15.75" x14ac:dyDescent="0.25">
      <c r="A78" s="12">
        <v>1989</v>
      </c>
      <c r="B78" s="2">
        <v>0.31480000000000002</v>
      </c>
      <c r="C78" s="2">
        <v>8.1100000000000005E-2</v>
      </c>
      <c r="D78" s="2">
        <v>0.1769</v>
      </c>
      <c r="E78" s="13">
        <v>4.8</v>
      </c>
      <c r="G78">
        <v>28</v>
      </c>
      <c r="H78">
        <v>15</v>
      </c>
      <c r="I78">
        <v>6</v>
      </c>
    </row>
    <row r="79" spans="1:9" ht="15.75" x14ac:dyDescent="0.25">
      <c r="A79" s="14">
        <v>1990</v>
      </c>
      <c r="B79" s="1">
        <v>-3.0599999999999999E-2</v>
      </c>
      <c r="C79" s="1">
        <v>7.5499999999999998E-2</v>
      </c>
      <c r="D79" s="1">
        <v>6.2399999999999997E-2</v>
      </c>
      <c r="E79" s="15">
        <v>5.4</v>
      </c>
      <c r="H79">
        <v>15</v>
      </c>
      <c r="I79">
        <v>6</v>
      </c>
    </row>
    <row r="80" spans="1:9" ht="15.75" x14ac:dyDescent="0.25">
      <c r="A80" s="12">
        <v>1991</v>
      </c>
      <c r="B80" s="2">
        <v>0.30230000000000001</v>
      </c>
      <c r="C80" s="2">
        <v>5.6099999999999997E-2</v>
      </c>
      <c r="D80" s="2">
        <v>0.15</v>
      </c>
      <c r="E80" s="13">
        <v>4.2</v>
      </c>
      <c r="H80">
        <v>15</v>
      </c>
      <c r="I80">
        <v>6</v>
      </c>
    </row>
    <row r="81" spans="1:9" ht="15.75" x14ac:dyDescent="0.25">
      <c r="A81" s="14">
        <v>1992</v>
      </c>
      <c r="B81" s="1">
        <v>7.4899999999999994E-2</v>
      </c>
      <c r="C81" s="1">
        <v>3.4099999999999998E-2</v>
      </c>
      <c r="D81" s="1">
        <v>9.3600000000000003E-2</v>
      </c>
      <c r="E81" s="15">
        <v>3</v>
      </c>
      <c r="H81">
        <v>18</v>
      </c>
      <c r="I81">
        <v>5</v>
      </c>
    </row>
    <row r="82" spans="1:9" ht="15.75" x14ac:dyDescent="0.25">
      <c r="A82" s="12">
        <v>1993</v>
      </c>
      <c r="B82" s="2">
        <v>9.9699999999999997E-2</v>
      </c>
      <c r="C82" s="2">
        <v>2.98E-2</v>
      </c>
      <c r="D82" s="2">
        <v>0.1421</v>
      </c>
      <c r="E82" s="13">
        <v>3</v>
      </c>
      <c r="H82">
        <v>18</v>
      </c>
      <c r="I82">
        <v>5</v>
      </c>
    </row>
    <row r="83" spans="1:9" ht="15.75" x14ac:dyDescent="0.25">
      <c r="A83" s="14">
        <v>1994</v>
      </c>
      <c r="B83" s="1">
        <v>1.3299999999999999E-2</v>
      </c>
      <c r="C83" s="1">
        <v>3.9899999999999998E-2</v>
      </c>
      <c r="D83" s="1">
        <v>-8.0399999999999999E-2</v>
      </c>
      <c r="E83" s="15">
        <v>2.6</v>
      </c>
      <c r="H83">
        <v>18</v>
      </c>
      <c r="I83">
        <v>5</v>
      </c>
    </row>
    <row r="84" spans="1:9" ht="15.75" x14ac:dyDescent="0.25">
      <c r="A84" s="12">
        <v>1995</v>
      </c>
      <c r="B84" s="2">
        <v>0.372</v>
      </c>
      <c r="C84" s="2">
        <v>5.5199999999999999E-2</v>
      </c>
      <c r="D84" s="2">
        <v>0.23480000000000001</v>
      </c>
      <c r="E84" s="13">
        <v>2.8</v>
      </c>
      <c r="H84">
        <v>18</v>
      </c>
      <c r="I84">
        <v>8</v>
      </c>
    </row>
    <row r="85" spans="1:9" ht="15.75" x14ac:dyDescent="0.25">
      <c r="A85" s="14">
        <v>1996</v>
      </c>
      <c r="B85" s="1">
        <v>0.2268</v>
      </c>
      <c r="C85" s="1">
        <v>5.0200000000000002E-2</v>
      </c>
      <c r="D85" s="1">
        <v>1.43E-2</v>
      </c>
      <c r="E85" s="15">
        <v>3</v>
      </c>
      <c r="H85">
        <v>17</v>
      </c>
      <c r="I85">
        <v>7</v>
      </c>
    </row>
    <row r="86" spans="1:9" ht="15.75" x14ac:dyDescent="0.25">
      <c r="A86" s="12">
        <v>1997</v>
      </c>
      <c r="B86" s="2">
        <v>0.33100000000000002</v>
      </c>
      <c r="C86" s="2">
        <v>5.0500000000000003E-2</v>
      </c>
      <c r="D86" s="2">
        <v>9.9400000000000002E-2</v>
      </c>
      <c r="E86" s="13">
        <v>2.2999999999999998</v>
      </c>
      <c r="H86">
        <v>16</v>
      </c>
      <c r="I86">
        <v>7</v>
      </c>
    </row>
    <row r="87" spans="1:9" ht="15.75" x14ac:dyDescent="0.25">
      <c r="A87" s="14">
        <v>1998</v>
      </c>
      <c r="B87" s="1">
        <v>0.28339999999999999</v>
      </c>
      <c r="C87" s="1">
        <v>4.7300000000000002E-2</v>
      </c>
      <c r="D87" s="1">
        <v>0.1492</v>
      </c>
      <c r="E87" s="15">
        <v>1.6</v>
      </c>
      <c r="H87">
        <v>16</v>
      </c>
      <c r="I87">
        <v>8</v>
      </c>
    </row>
    <row r="88" spans="1:9" ht="15.75" x14ac:dyDescent="0.25">
      <c r="A88" s="12">
        <v>1999</v>
      </c>
      <c r="B88" s="2">
        <v>0.2089</v>
      </c>
      <c r="C88" s="2">
        <v>4.5100000000000001E-2</v>
      </c>
      <c r="D88" s="2">
        <v>-8.2500000000000004E-2</v>
      </c>
      <c r="E88" s="13">
        <v>2.2000000000000002</v>
      </c>
      <c r="H88">
        <v>15</v>
      </c>
      <c r="I88">
        <v>7</v>
      </c>
    </row>
    <row r="89" spans="1:9" ht="15.75" x14ac:dyDescent="0.25">
      <c r="A89" s="14">
        <v>2000</v>
      </c>
      <c r="B89" s="1">
        <v>-9.0300000000000005E-2</v>
      </c>
      <c r="C89" s="1">
        <v>5.7599999999999998E-2</v>
      </c>
      <c r="D89" s="1">
        <v>0.1666</v>
      </c>
      <c r="E89" s="15">
        <v>3.4</v>
      </c>
      <c r="H89">
        <v>15</v>
      </c>
      <c r="I89">
        <v>7</v>
      </c>
    </row>
    <row r="90" spans="1:9" ht="15.75" x14ac:dyDescent="0.25">
      <c r="A90" s="12">
        <v>2001</v>
      </c>
      <c r="B90" s="2">
        <v>-0.11849999999999999</v>
      </c>
      <c r="C90" s="2">
        <v>3.6700000000000003E-2</v>
      </c>
      <c r="D90" s="2">
        <v>5.57E-2</v>
      </c>
      <c r="E90" s="13">
        <v>2.8</v>
      </c>
      <c r="H90">
        <v>15</v>
      </c>
      <c r="I90">
        <v>8</v>
      </c>
    </row>
    <row r="91" spans="1:9" ht="15.75" x14ac:dyDescent="0.25">
      <c r="A91" s="14">
        <v>2002</v>
      </c>
      <c r="B91" s="1">
        <v>-0.21970000000000001</v>
      </c>
      <c r="C91" s="1">
        <v>1.66E-2</v>
      </c>
      <c r="D91" s="1">
        <v>0.1512</v>
      </c>
      <c r="E91" s="15">
        <v>1.6</v>
      </c>
      <c r="H91">
        <v>15</v>
      </c>
      <c r="I91">
        <v>8</v>
      </c>
    </row>
    <row r="92" spans="1:9" ht="15.75" x14ac:dyDescent="0.25">
      <c r="A92" s="12">
        <v>2003</v>
      </c>
      <c r="B92" s="2">
        <v>0.28360000000000002</v>
      </c>
      <c r="C92" s="2">
        <v>1.03E-2</v>
      </c>
      <c r="D92" s="2">
        <v>3.8E-3</v>
      </c>
      <c r="E92" s="13">
        <v>2.2999999999999998</v>
      </c>
      <c r="H92">
        <v>14</v>
      </c>
      <c r="I92">
        <v>7</v>
      </c>
    </row>
    <row r="93" spans="1:9" ht="15.75" x14ac:dyDescent="0.25">
      <c r="A93" s="14">
        <v>2004</v>
      </c>
      <c r="B93" s="1">
        <v>0.1074</v>
      </c>
      <c r="C93" s="1">
        <v>1.23E-2</v>
      </c>
      <c r="D93" s="1">
        <v>4.4900000000000002E-2</v>
      </c>
      <c r="E93" s="15">
        <v>2.7</v>
      </c>
      <c r="I93">
        <v>7</v>
      </c>
    </row>
    <row r="94" spans="1:9" ht="15.75" x14ac:dyDescent="0.25">
      <c r="A94" s="12">
        <v>2005</v>
      </c>
      <c r="B94" s="2">
        <v>4.8300000000000003E-2</v>
      </c>
      <c r="C94" s="2">
        <v>3.0099999999999998E-2</v>
      </c>
      <c r="D94" s="2">
        <v>2.87E-2</v>
      </c>
      <c r="E94" s="13">
        <v>3.4</v>
      </c>
      <c r="I94">
        <v>7</v>
      </c>
    </row>
    <row r="95" spans="1:9" ht="15.75" x14ac:dyDescent="0.25">
      <c r="A95" s="14">
        <v>2006</v>
      </c>
      <c r="B95" s="1">
        <v>0.15609999999999999</v>
      </c>
      <c r="C95" s="1">
        <v>4.6800000000000001E-2</v>
      </c>
      <c r="D95" s="1">
        <v>1.9599999999999999E-2</v>
      </c>
      <c r="E95" s="15">
        <v>3.2</v>
      </c>
      <c r="I95">
        <v>7</v>
      </c>
    </row>
    <row r="96" spans="1:9" ht="15.75" x14ac:dyDescent="0.25">
      <c r="A96" s="12">
        <v>2007</v>
      </c>
      <c r="B96" s="2">
        <v>5.4800000000000001E-2</v>
      </c>
      <c r="C96" s="2">
        <v>4.6399999999999997E-2</v>
      </c>
      <c r="D96" s="2">
        <v>0.1021</v>
      </c>
      <c r="E96" s="13">
        <v>2.8</v>
      </c>
      <c r="I96">
        <v>6</v>
      </c>
    </row>
    <row r="97" spans="1:9" ht="15.75" x14ac:dyDescent="0.25">
      <c r="A97" s="14">
        <v>2008</v>
      </c>
      <c r="B97" s="1">
        <v>-0.36549999999999999</v>
      </c>
      <c r="C97" s="1">
        <v>1.5900000000000001E-2</v>
      </c>
      <c r="D97" s="1">
        <v>0.20100000000000001</v>
      </c>
      <c r="E97" s="15">
        <v>3.8</v>
      </c>
      <c r="I97">
        <v>6</v>
      </c>
    </row>
    <row r="98" spans="1:9" ht="15.75" x14ac:dyDescent="0.25">
      <c r="A98" s="12">
        <v>2009</v>
      </c>
      <c r="B98" s="2">
        <v>0.25940000000000002</v>
      </c>
      <c r="C98" s="2">
        <v>1.4E-3</v>
      </c>
      <c r="D98" s="2">
        <v>-0.11119999999999999</v>
      </c>
      <c r="E98" s="13">
        <v>-0.4</v>
      </c>
      <c r="I98">
        <v>6</v>
      </c>
    </row>
    <row r="99" spans="1:9" ht="15.75" x14ac:dyDescent="0.25">
      <c r="A99" s="14">
        <v>2010</v>
      </c>
      <c r="B99" s="1">
        <v>0.1482</v>
      </c>
      <c r="C99" s="1">
        <v>1.2999999999999999E-3</v>
      </c>
      <c r="D99" s="1">
        <v>8.4599999999999995E-2</v>
      </c>
      <c r="E99" s="15">
        <v>1.6</v>
      </c>
      <c r="I99">
        <v>6</v>
      </c>
    </row>
    <row r="100" spans="1:9" ht="15.75" x14ac:dyDescent="0.25">
      <c r="A100" s="12">
        <v>2011</v>
      </c>
      <c r="B100" s="2">
        <v>2.1000000000000001E-2</v>
      </c>
      <c r="C100" s="2">
        <v>2.9999999999999997E-4</v>
      </c>
      <c r="D100" s="2">
        <v>0.16039999999999999</v>
      </c>
      <c r="E100" s="13">
        <v>3.2</v>
      </c>
      <c r="I100">
        <v>6</v>
      </c>
    </row>
    <row r="101" spans="1:9" ht="15.75" x14ac:dyDescent="0.25">
      <c r="A101" s="14">
        <v>2012</v>
      </c>
      <c r="B101" s="1">
        <v>0.15890000000000001</v>
      </c>
      <c r="C101" s="1">
        <v>5.0000000000000001E-4</v>
      </c>
      <c r="D101" s="1">
        <v>2.9700000000000001E-2</v>
      </c>
      <c r="E101" s="15">
        <v>2.1</v>
      </c>
    </row>
    <row r="102" spans="1:9" ht="15.75" x14ac:dyDescent="0.25">
      <c r="A102" s="12">
        <v>2013</v>
      </c>
      <c r="B102" s="2">
        <v>0.32150000000000001</v>
      </c>
      <c r="C102" s="2">
        <v>6.9999999999999999E-4</v>
      </c>
      <c r="D102" s="2">
        <v>-9.0999999999999998E-2</v>
      </c>
      <c r="E102" s="13">
        <v>1.5</v>
      </c>
    </row>
    <row r="103" spans="1:9" ht="15.75" x14ac:dyDescent="0.25">
      <c r="A103" s="14">
        <v>2014</v>
      </c>
      <c r="B103" s="1">
        <v>0.13519999999999999</v>
      </c>
      <c r="C103" s="1">
        <v>5.0000000000000001E-4</v>
      </c>
      <c r="D103" s="1">
        <v>0.1075</v>
      </c>
      <c r="E103" s="16">
        <v>1.6</v>
      </c>
    </row>
    <row r="104" spans="1:9" ht="15.75" x14ac:dyDescent="0.25">
      <c r="A104" s="17">
        <v>2015</v>
      </c>
      <c r="B104" s="2">
        <v>1.38E-2</v>
      </c>
      <c r="C104" s="4">
        <v>2.0999999999999999E-3</v>
      </c>
      <c r="D104" s="2">
        <v>1.2800000000000001E-2</v>
      </c>
      <c r="E104" s="13">
        <v>0.1</v>
      </c>
    </row>
    <row r="105" spans="1:9" ht="15.75" x14ac:dyDescent="0.25">
      <c r="A105" s="18">
        <v>2016</v>
      </c>
      <c r="B105" s="1">
        <v>0.1177</v>
      </c>
      <c r="C105" s="3">
        <v>5.1000000000000004E-3</v>
      </c>
      <c r="D105" s="1">
        <v>6.8999999999999999E-3</v>
      </c>
      <c r="E105" s="16">
        <v>1.3</v>
      </c>
    </row>
    <row r="106" spans="1:9" ht="16.5" thickBot="1" x14ac:dyDescent="0.3">
      <c r="A106" s="19">
        <v>2017</v>
      </c>
      <c r="B106" s="20">
        <v>0.21640000000000001</v>
      </c>
      <c r="C106" s="20">
        <v>1.3899999999999999E-2</v>
      </c>
      <c r="D106" s="20">
        <v>2.8000000000000001E-2</v>
      </c>
      <c r="E106" s="21">
        <v>2.1</v>
      </c>
    </row>
  </sheetData>
  <mergeCells count="5">
    <mergeCell ref="A8:A16"/>
    <mergeCell ref="B8:B16"/>
    <mergeCell ref="C8:C16"/>
    <mergeCell ref="D8:D16"/>
    <mergeCell ref="E8:E16"/>
  </mergeCells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Sheet2.AnalyzeData">
                <anchor moveWithCells="1" sizeWithCells="1">
                  <from>
                    <xdr:col>6</xdr:col>
                    <xdr:colOff>19050</xdr:colOff>
                    <xdr:row>4</xdr:row>
                    <xdr:rowOff>104775</xdr:rowOff>
                  </from>
                  <to>
                    <xdr:col>7</xdr:col>
                    <xdr:colOff>390525</xdr:colOff>
                    <xdr:row>6</xdr:row>
                    <xdr:rowOff>114300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Sheet2</vt:lpstr>
      <vt:lpstr>Market Returns</vt:lpstr>
    </vt:vector>
  </TitlesOfParts>
  <Company>United States Army</Company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Morey, Christopher D CTR (US)</dc:creator>
  <cp:lastModifiedBy>Morey, Christopher D CTR (US)</cp:lastModifiedBy>
  <dcterms:created xsi:type="dcterms:W3CDTF">2018-02-28T19:41:35Z</dcterms:created>
  <dcterms:modified xsi:type="dcterms:W3CDTF">2018-03-01T15:26:29Z</dcterms:modified>
</cp:coreProperties>
</file>